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<sst xmlns="http://schemas.openxmlformats.org/spreadsheetml/2006/main" count="4933" uniqueCount="2501">
  <si>
    <t>Item No.</t>
  </si>
  <si>
    <t>EAN/ISBN13</t>
  </si>
  <si>
    <t>Author</t>
  </si>
  <si>
    <t>Title</t>
  </si>
  <si>
    <t>Publisher</t>
  </si>
  <si>
    <t>Country</t>
  </si>
  <si>
    <t>Year</t>
  </si>
  <si>
    <t>Binding</t>
  </si>
  <si>
    <t>Qty</t>
  </si>
  <si>
    <t>Unit Price</t>
  </si>
  <si>
    <t>Line Total NGN</t>
  </si>
  <si>
    <t>Remarks</t>
  </si>
  <si>
    <t>Microbiology:</t>
  </si>
  <si>
    <t>General &amp; Introductory Microbiology; Medical &amp; Clinical Microbiology; Environmental &amp; Industrial Microbiology; Food Microbiology; Microbial Genetics; Virology, Mycology, Bacteriology; Immunology.</t>
  </si>
  <si>
    <t>A.01</t>
  </si>
  <si>
    <t>9781683674450</t>
  </si>
  <si>
    <t>Martin, Rebekah M.</t>
  </si>
  <si>
    <t>101 Topics for Clinical Microbiology Laboratory Leaders: Accreditation, Verification, Quality Systems, and More</t>
  </si>
  <si>
    <t>American Society for Microbiology</t>
  </si>
  <si>
    <t>US</t>
  </si>
  <si>
    <t>2025</t>
  </si>
  <si>
    <t>Hardback</t>
  </si>
  <si>
    <t>A.02</t>
  </si>
  <si>
    <t>9780443345050</t>
  </si>
  <si>
    <t>Gadd, Geoffrey M.; Sariaslani, Sima</t>
  </si>
  <si>
    <t>Advances in Applied Microbiology: Volume 131</t>
  </si>
  <si>
    <t>Academic Press Inc</t>
  </si>
  <si>
    <t>A.03</t>
  </si>
  <si>
    <t>9780443345074</t>
  </si>
  <si>
    <t>Advances in Applied Microbiology: Volume 132</t>
  </si>
  <si>
    <t>A.04</t>
  </si>
  <si>
    <t>9781774917411</t>
  </si>
  <si>
    <t>Goyal, Megh R.; Veena, N.; Mishra, Santosh Kumar</t>
  </si>
  <si>
    <t>Analytical Methods for Milk and Milk Products: Volume 3: Microbiological Analysis, Isolation, and Characterization</t>
  </si>
  <si>
    <t>Apple Academic Press Inc.</t>
  </si>
  <si>
    <t>CA</t>
  </si>
  <si>
    <t>2024</t>
  </si>
  <si>
    <t>A.05</t>
  </si>
  <si>
    <t>9780128177884</t>
  </si>
  <si>
    <t>Bhatia, Saurabh; Al-Harrasi, Ahmed Sulaiman</t>
  </si>
  <si>
    <t>Applied Microbiology: Microbes, Pharmaceutical Techniques and Procedures</t>
  </si>
  <si>
    <t>2026</t>
  </si>
  <si>
    <t>Paperback</t>
  </si>
  <si>
    <t>A.06</t>
  </si>
  <si>
    <t>9783111548272</t>
  </si>
  <si>
    <t>Kumar, Pankaj; Vivekanand, Vivekanand; Pareek, Nidhi; Dubey, Ramesh Chandra</t>
  </si>
  <si>
    <t>Artificial Intelligence in Microbiology: Environmental, Food, Plant and Clinical Microbiology</t>
  </si>
  <si>
    <t>De Gruyter</t>
  </si>
  <si>
    <t>DE</t>
  </si>
  <si>
    <t>A.07</t>
  </si>
  <si>
    <t>9780443118913</t>
  </si>
  <si>
    <t>Tille, Patricia M.</t>
  </si>
  <si>
    <t>Bailey &amp; Scott's Diagnostic Microbiology</t>
  </si>
  <si>
    <t>Churchill Livingstone</t>
  </si>
  <si>
    <t>UK</t>
  </si>
  <si>
    <t>A.08</t>
  </si>
  <si>
    <t>9780128175347</t>
  </si>
  <si>
    <t>Bhatia, Saurabh; Malik, Rohit; Al-Harrasi, Ahmed Sulaiman</t>
  </si>
  <si>
    <t>Basic Microbiology: History, Fundamentals and Insights</t>
  </si>
  <si>
    <t>A.09</t>
  </si>
  <si>
    <t>9781975220457</t>
  </si>
  <si>
    <t>Baxa, Dwayne M; Taylor, Tracey A. H.</t>
  </si>
  <si>
    <t>BRS Microbiology &amp; Immunology</t>
  </si>
  <si>
    <t>Wolters Kluwer Health</t>
  </si>
  <si>
    <t>A.10</t>
  </si>
  <si>
    <t>9781683673958</t>
  </si>
  <si>
    <t>Miller, Melissa B.; Prinzi, Andrea M.; Rodino, Kyle G.; Gilligan, Peter H.</t>
  </si>
  <si>
    <t>Cases in Medical Microbiology and Infectious Diseases</t>
  </si>
  <si>
    <t>A.11</t>
  </si>
  <si>
    <t>9781975161781</t>
  </si>
  <si>
    <t>Armstrong, Wendy S.; Bonura, Erin M.</t>
  </si>
  <si>
    <t>Clinical Microbiology and Infectious Disease: A Medical Student and Faculty Collaboration</t>
  </si>
  <si>
    <t>A.12</t>
  </si>
  <si>
    <t>9781032788111</t>
  </si>
  <si>
    <t>Kumar, Yogesh; Naresh, R. K.; Singh, P. K.; Kumar, Mukesh; Singh, S. P.; Chaudhari, Deepak; Tiwari, Himanshu</t>
  </si>
  <si>
    <t>Conceptual Agricultural Microbiology</t>
  </si>
  <si>
    <t>CRC Press</t>
  </si>
  <si>
    <t>A.13</t>
  </si>
  <si>
    <t>9780443283246</t>
  </si>
  <si>
    <t>Lacey, Hester; Walkeden, Ella; Bola, Harroop; Reynolds, Adam; Xiu, Philip</t>
  </si>
  <si>
    <t>Crash Course 1000 SBAs for Finals and the MLA - Clinical Specialties</t>
  </si>
  <si>
    <t>A.14</t>
  </si>
  <si>
    <t>9781779563644</t>
  </si>
  <si>
    <t>Rami, Esha</t>
  </si>
  <si>
    <t>Economic Microbiology</t>
  </si>
  <si>
    <t>Delve Publishing</t>
  </si>
  <si>
    <t>A.15</t>
  </si>
  <si>
    <t>9780443298257</t>
  </si>
  <si>
    <t>Pepper, Ian; Gentry, Terry; Gerba, Charles; Brooks, John</t>
  </si>
  <si>
    <t>Environmental Microbiology</t>
  </si>
  <si>
    <t>A.16</t>
  </si>
  <si>
    <t>9781683674498</t>
  </si>
  <si>
    <t>Matthews, Karl R.; Kniel, Kalmia E.; Critzer, Faith J.</t>
  </si>
  <si>
    <t>Food Microbiology: An Introduction</t>
  </si>
  <si>
    <t>A.17</t>
  </si>
  <si>
    <t>9781032376882</t>
  </si>
  <si>
    <t>Ray, Bibek; Bhunia, Arun</t>
  </si>
  <si>
    <t>Fundamental Food Microbiology</t>
  </si>
  <si>
    <t>A.18</t>
  </si>
  <si>
    <t>9780443240409</t>
  </si>
  <si>
    <t>Akinsemolu, Adenike A.; Onyeaka, Helen N.</t>
  </si>
  <si>
    <t>Green Microbiology: Sustainability, Climate Change, Food, and Water</t>
  </si>
  <si>
    <t>A.19</t>
  </si>
  <si>
    <t>9781779563637</t>
  </si>
  <si>
    <t>Pawar, Dnyaneshwar M.</t>
  </si>
  <si>
    <t>Handbook of Applied Microbiology</t>
  </si>
  <si>
    <t>A.20</t>
  </si>
  <si>
    <t>9781774915264</t>
  </si>
  <si>
    <t>Nehra, Manju; Nain, Vikash</t>
  </si>
  <si>
    <t>Handbook of Industrial Food Microbiology</t>
  </si>
  <si>
    <t>A.21</t>
  </si>
  <si>
    <t>9781032644769</t>
  </si>
  <si>
    <t>Rahman, Zeeshan Ur; Thomas, Lebin</t>
  </si>
  <si>
    <t>Industrial and Environmental Microbiology</t>
  </si>
  <si>
    <t>A.22</t>
  </si>
  <si>
    <t>9781032651088</t>
  </si>
  <si>
    <t>A.23</t>
  </si>
  <si>
    <t>9781032399386</t>
  </si>
  <si>
    <t>Vinderola, Gabriel; Ouwehand, Arthur; Salminen, Seppo; von Wright, Atte</t>
  </si>
  <si>
    <t>Lactic Acid Bacteria: Microbiological and Functional Aspects</t>
  </si>
  <si>
    <t>A.24</t>
  </si>
  <si>
    <t>9781266098796</t>
  </si>
  <si>
    <t>Chin-Hong, Peter; Joyce, Elizabeth A.; Karandikar, Manjiree; Nussbaum, Jesse; Matloubian, Mehrdad; Schwartz, Brian; Rubio, Luis Alberto; Schwartz, Brian S.; Rubio, Luis; Levinson, Warren E.</t>
  </si>
  <si>
    <t>Levinson's Review of Medical Microbiology and Immunology: A Guide to Clinical Infectious Disease, Eighteenth Edition</t>
  </si>
  <si>
    <t>McGraw-Hill Education</t>
  </si>
  <si>
    <t>A.25</t>
  </si>
  <si>
    <t>9781975233419</t>
  </si>
  <si>
    <t>Cornelissen, Cynthia Nau; Ram, Sanjay</t>
  </si>
  <si>
    <t>Lippincott (R) Illustrated Reviews: Microbiology</t>
  </si>
  <si>
    <t>A.26</t>
  </si>
  <si>
    <t>9781683674566</t>
  </si>
  <si>
    <t>Hayden, Randall T.; Carroll, Karen C.; Dekker, John P.; McAdam, Alexander J.; Wolk, Donna M.</t>
  </si>
  <si>
    <t>Manual of Molecular Microbiology: Fundamentals and Applications</t>
  </si>
  <si>
    <t>A.27</t>
  </si>
  <si>
    <t>9781032855813</t>
  </si>
  <si>
    <t>Munn, Colin; Priest, Taylor; Roberts, Cordelia; Seymour, Justin; Warwick-Dugdale, Joanna; Zettler, Erik</t>
  </si>
  <si>
    <t>Marine Microbiology: Ecology &amp; Applications</t>
  </si>
  <si>
    <t>A.28</t>
  </si>
  <si>
    <t>9780443278945</t>
  </si>
  <si>
    <t>Marsh, Philip D.; Lewis, Michael A.O.; Williams, David; Wilson, Melanie; Zaura, Egija</t>
  </si>
  <si>
    <t>Marsh and Martin's Oral Microbiology</t>
  </si>
  <si>
    <t>A.29</t>
  </si>
  <si>
    <t>9780443261336</t>
  </si>
  <si>
    <t>Murray, Patrick R.; Rosenthal, Ken S.; Pfaller, Michael A.</t>
  </si>
  <si>
    <t>Medical Microbiology</t>
  </si>
  <si>
    <t>A.31</t>
  </si>
  <si>
    <t>9780443276224</t>
  </si>
  <si>
    <t>Kumar, Ashutosh</t>
  </si>
  <si>
    <t>Microbial Stress Survival</t>
  </si>
  <si>
    <t>A.32</t>
  </si>
  <si>
    <t>9781032745220</t>
  </si>
  <si>
    <t>Kotu, Susmitha Purnima; Skovhus, Torben Lund; Wunch, Kenneth</t>
  </si>
  <si>
    <t>Microbiological Challenges in the Energy Industries: Bridging the Gap between Renewables and Non-Renewables</t>
  </si>
  <si>
    <t>A.33</t>
  </si>
  <si>
    <t>9781032707990</t>
  </si>
  <si>
    <t>Koerdt, Andrea; Knisz, Judit; Wade, Scott; R. Silva, Elisabete</t>
  </si>
  <si>
    <t>Microbiologically Influenced Corrosion: A Comprehensive Guide to Principles, Assessment and Mitigation</t>
  </si>
  <si>
    <t>A.34</t>
  </si>
  <si>
    <t>9783031943973</t>
  </si>
  <si>
    <t>Dudenhoeffer, Larrie</t>
  </si>
  <si>
    <t>Microbiology and Horror Cinema</t>
  </si>
  <si>
    <t>Palgrave Macmillan</t>
  </si>
  <si>
    <t>CH</t>
  </si>
  <si>
    <t>A.35</t>
  </si>
  <si>
    <t>9781032496085</t>
  </si>
  <si>
    <t>Maddela, Naga Raju; Eller, Lizziane Kretli Winkelstroter; Prasad, Ram</t>
  </si>
  <si>
    <t>Microbiology for Cleaner Production and Environmental Sustainability</t>
  </si>
  <si>
    <t>A.36</t>
  </si>
  <si>
    <t>9781041111085</t>
  </si>
  <si>
    <t>Akanni, Gabriel; Jimoh, Abdullahi; Adebo, Oluwafemi</t>
  </si>
  <si>
    <t>Microbiology of African Fermented Foods</t>
  </si>
  <si>
    <t>A.37</t>
  </si>
  <si>
    <t>9780367773922</t>
  </si>
  <si>
    <t>Yousuf, Abu; Tomas-Pejo, Elia</t>
  </si>
  <si>
    <t>Microbiology of Green Fuels</t>
  </si>
  <si>
    <t>A.38</t>
  </si>
  <si>
    <t>9783031616396</t>
  </si>
  <si>
    <t>Brar, Satinder Kaur; Osorio Gonzalez, Carlos Saul; Soccol, Carlos Riccardo; Saini, Rahul</t>
  </si>
  <si>
    <t xml:space="preserve">Microbiology of the Drop-in Biofuel Production, The </t>
  </si>
  <si>
    <t>Springer International Publishing AG</t>
  </si>
  <si>
    <t>A.39</t>
  </si>
  <si>
    <t>9781292737423</t>
  </si>
  <si>
    <t>Tortora, Gerard; Case, Christine; Bair, Warner, III; Weber, Derek; Funke, Berdell</t>
  </si>
  <si>
    <t>Microbiology: An Introduction, Global Edition</t>
  </si>
  <si>
    <t>Pearson Education Limited</t>
  </si>
  <si>
    <t>A.40</t>
  </si>
  <si>
    <t>9781324073345</t>
  </si>
  <si>
    <t>Foster, John W.; Aliabadi, Zarrintaj; Slonczewski, Joan L.</t>
  </si>
  <si>
    <t>Microbiology: The Human Experience [PACK OF  1x2 ]</t>
  </si>
  <si>
    <t>WW Norton &amp; Co</t>
  </si>
  <si>
    <t>Mixed media product</t>
  </si>
  <si>
    <t>A.41</t>
  </si>
  <si>
    <t>9780323937252</t>
  </si>
  <si>
    <t>Goering, Richard; Dockrell, Hazel M.; Zuckerman, Mark; Chiodini, Peter L.</t>
  </si>
  <si>
    <t>Mims' Medical Microbiology and Immunology</t>
  </si>
  <si>
    <t>Elsevier - Health Sciences Division</t>
  </si>
  <si>
    <t>A.42</t>
  </si>
  <si>
    <t>9781266867552</t>
  </si>
  <si>
    <t>Anderson, Denise; Salm, Sarah; Beins, Mira; Nester, Eugene</t>
  </si>
  <si>
    <t>Nester's Microbiology: A Human Perspective: 2024 Release ISE</t>
  </si>
  <si>
    <t>A.43</t>
  </si>
  <si>
    <t>9780192896834</t>
  </si>
  <si>
    <t>Moran, Ed; Cooke, Fiona</t>
  </si>
  <si>
    <t>Oxford Handbook of Infectious Diseases and Microbiology</t>
  </si>
  <si>
    <t>Oxford University Press</t>
  </si>
  <si>
    <t>Part-work</t>
  </si>
  <si>
    <t>A.44</t>
  </si>
  <si>
    <t>9781032269566</t>
  </si>
  <si>
    <t>An Stepec, Biwen Annie; Wunch, Kenneth; Skovhus, Torben Lund</t>
  </si>
  <si>
    <t>Petroleum Microbiology: The Role of Microorganisms in the Transition to Net Zero Energy</t>
  </si>
  <si>
    <t>A.45</t>
  </si>
  <si>
    <t>9781683674221</t>
  </si>
  <si>
    <t>Doern, Christopher D.; Bryson, Alexandra L.</t>
  </si>
  <si>
    <t>Pocket Guide to Clinical Microbiology</t>
  </si>
  <si>
    <t>A.47</t>
  </si>
  <si>
    <t>9780443117213</t>
  </si>
  <si>
    <t>Samaranayake, Lakshman</t>
  </si>
  <si>
    <t>Samaranayake's Essential Microbiology for Dentistry</t>
  </si>
  <si>
    <t>Biology:</t>
  </si>
  <si>
    <t>General Biology; Cell &amp; Molecular Biology; Genetics &amp; Evolution; Ecology &amp; Environmental Biology; Botany; Zoology; Human &amp; Animal Physiology.</t>
  </si>
  <si>
    <t>B.01</t>
  </si>
  <si>
    <t>9781071631492</t>
  </si>
  <si>
    <t>Sousa, Angela; Passarinha, Luis</t>
  </si>
  <si>
    <t>Advanced Methods in Structural Biology</t>
  </si>
  <si>
    <t>Springer-Verlag New York Inc.</t>
  </si>
  <si>
    <t>B.02</t>
  </si>
  <si>
    <t>9781774698181</t>
  </si>
  <si>
    <t>Borges, Bruno Augusto Amato</t>
  </si>
  <si>
    <t>Advances in Marine Biology</t>
  </si>
  <si>
    <t>B.03</t>
  </si>
  <si>
    <t>9783031904530</t>
  </si>
  <si>
    <t>Nabeel Asim, Muhammad; Ahmed, Sheraz; Dengel, Andreas</t>
  </si>
  <si>
    <t>Artificial Intelligence for Molecular Biology: Advanced Methods and Applications</t>
  </si>
  <si>
    <t>B.04</t>
  </si>
  <si>
    <t>9783031904493</t>
  </si>
  <si>
    <t>Artificial Intelligence for Molecular Biology: Fundamental Methods and Applications</t>
  </si>
  <si>
    <t>B.05</t>
  </si>
  <si>
    <t>9781032160023</t>
  </si>
  <si>
    <t>Rout, Ranjeet Kumar; Umer, Saiyed; Sheikh, Sabha; Sangal, Amrit Lal</t>
  </si>
  <si>
    <t>Artificial Intelligence Technologies for Computational Biology</t>
  </si>
  <si>
    <t>B.06</t>
  </si>
  <si>
    <t>9783032036353</t>
  </si>
  <si>
    <t>Boettger, Angelika; Moneer, Jasmin</t>
  </si>
  <si>
    <t>Basic Cell Biology for Dentists and Medical Students</t>
  </si>
  <si>
    <t>Springer Nature Switzerland AG</t>
  </si>
  <si>
    <t>B.07</t>
  </si>
  <si>
    <t>9781421449173</t>
  </si>
  <si>
    <t>Vucetich, John A.</t>
  </si>
  <si>
    <t xml:space="preserve">Biology and Conservation of Animal Populations, The </t>
  </si>
  <si>
    <t>Johns Hopkins University Press</t>
  </si>
  <si>
    <t>B.08</t>
  </si>
  <si>
    <t>9789819630936</t>
  </si>
  <si>
    <t>Elsadany, A. A.; Adel, Waleed; Sabbar, Yassine</t>
  </si>
  <si>
    <t>Biology and Sustainable Development Goals: Applications of Mathematical Methods</t>
  </si>
  <si>
    <t>B.09</t>
  </si>
  <si>
    <t>9780357975985</t>
  </si>
  <si>
    <t>Peffer, Melanie</t>
  </si>
  <si>
    <t>Biology for Life: A Guide to Our Living World</t>
  </si>
  <si>
    <t>Brooks/Cole</t>
  </si>
  <si>
    <t>B.10</t>
  </si>
  <si>
    <t>9780198834236</t>
  </si>
  <si>
    <t>Blann, Andrew</t>
  </si>
  <si>
    <t>Biology of Disease</t>
  </si>
  <si>
    <t>B.11</t>
  </si>
  <si>
    <t>9781118354155</t>
  </si>
  <si>
    <t>Murray, Paul G.; Dunmore, Simon J.; Perera, Shantha</t>
  </si>
  <si>
    <t xml:space="preserve">Biology of Disease, The </t>
  </si>
  <si>
    <t>John Wiley &amp; Sons Inc</t>
  </si>
  <si>
    <t>B.12</t>
  </si>
  <si>
    <t>9780443332968</t>
  </si>
  <si>
    <t>Keshawa, E. P. Meran; Cho, Somi Kim</t>
  </si>
  <si>
    <t>Biology of Fatty Acids: Biochemical, Nutritional and Pharmacological Functions</t>
  </si>
  <si>
    <t>B.13</t>
  </si>
  <si>
    <t>9780197664797</t>
  </si>
  <si>
    <t>Howard, Gary C.</t>
  </si>
  <si>
    <t>Biology of Us, The : The Living World All Around and In Us</t>
  </si>
  <si>
    <t>Oxford University Press Inc</t>
  </si>
  <si>
    <t>B.14</t>
  </si>
  <si>
    <t>9781265088859</t>
  </si>
  <si>
    <t>Brooker, Robert; Widmaier, Eric; Graham, Linda; Stiling, Peter</t>
  </si>
  <si>
    <t>Biology: 2025 Release ISE</t>
  </si>
  <si>
    <t>B.15</t>
  </si>
  <si>
    <t>9781265208721</t>
  </si>
  <si>
    <t>Raven, Peter; Johnson, George; Mason, Kenneth; Losos, Jonathan; Duncan, Tod</t>
  </si>
  <si>
    <t>B.16</t>
  </si>
  <si>
    <t>9781266934711</t>
  </si>
  <si>
    <t>Hoefnagels, Marielle</t>
  </si>
  <si>
    <t>Biology: Concepts and Investigations: 2024 Release ISE</t>
  </si>
  <si>
    <t>B.17</t>
  </si>
  <si>
    <t>9798214449128</t>
  </si>
  <si>
    <t>Russell, Peter; Benington, Joel; McMillan, Beverly; Engstrom, Tag; Shakerley, Nicole</t>
  </si>
  <si>
    <t>Biology: The Dynamic Science</t>
  </si>
  <si>
    <t>B.18</t>
  </si>
  <si>
    <t>9781265090777</t>
  </si>
  <si>
    <t>Biology: The Essentials: 2025 Release ISE</t>
  </si>
  <si>
    <t>B.19</t>
  </si>
  <si>
    <t>9781032725369</t>
  </si>
  <si>
    <t>De Haro, Leyma Perez</t>
  </si>
  <si>
    <t>Biosecurity in the Age of Synthetic Biology</t>
  </si>
  <si>
    <t>B.20</t>
  </si>
  <si>
    <t>9781292485218</t>
  </si>
  <si>
    <t>Urry, Lisa; Cain, Michael; Wasserman, Steven; Minorsky, Peter</t>
  </si>
  <si>
    <t>Campbell Biology in Focus, Global Edition</t>
  </si>
  <si>
    <t>B.21</t>
  </si>
  <si>
    <t>9781774697955</t>
  </si>
  <si>
    <t>Gadi, Ihsan</t>
  </si>
  <si>
    <t>Cell Biology</t>
  </si>
  <si>
    <t>Toronto Academic Press</t>
  </si>
  <si>
    <t>B.22</t>
  </si>
  <si>
    <t>9783031426919</t>
  </si>
  <si>
    <t>Pinto, Carla M.A.; Ionescu, Clara Mihaela</t>
  </si>
  <si>
    <t>Computational and Mathematical Models in Biology</t>
  </si>
  <si>
    <t>B.23</t>
  </si>
  <si>
    <t>9781774915561</t>
  </si>
  <si>
    <t>Sharma, Rajani; Kumar, A. V. Senthil; Kumar, Kunal</t>
  </si>
  <si>
    <t>Computational Biology in Drug Discovery and Repurposing</t>
  </si>
  <si>
    <t>B.24</t>
  </si>
  <si>
    <t>9783031703133</t>
  </si>
  <si>
    <t>Wunschiers, Roebbe</t>
  </si>
  <si>
    <t>Computational Biology: A Practical Introduction to Bio Data Juggling with Worked Examples</t>
  </si>
  <si>
    <t>B.25</t>
  </si>
  <si>
    <t>9783031559099</t>
  </si>
  <si>
    <t>Cohen, William W.; Cohen, Charles K.</t>
  </si>
  <si>
    <t xml:space="preserve">Computer Scientist's Guide to Cell Biology, A </t>
  </si>
  <si>
    <t>B.26</t>
  </si>
  <si>
    <t>9783031647970</t>
  </si>
  <si>
    <t>Elaydi, Saber N.; Cushing, Jim M.</t>
  </si>
  <si>
    <t>Discrete Mathematical Models in Population Biology: Ecological, Epidemic, and Evolutionary Dynamics</t>
  </si>
  <si>
    <t>B.27</t>
  </si>
  <si>
    <t>9781041060772</t>
  </si>
  <si>
    <t>Ghosh, Shyamasree; Hasan, Md. Nurul; Mandal, Chandrakanta</t>
  </si>
  <si>
    <t>Earthworms: Biology and Life</t>
  </si>
  <si>
    <t>B.28</t>
  </si>
  <si>
    <t>9781779563293</t>
  </si>
  <si>
    <t>Lisboa, Breno</t>
  </si>
  <si>
    <t>Essential Developmental Biology</t>
  </si>
  <si>
    <t>B.29</t>
  </si>
  <si>
    <t>9781041081739</t>
  </si>
  <si>
    <t>Smith, Alison M.; Downie, J. Allan; Harberd, Nicholas; Jones, Jonathan D. G.; Ostergaard, Lars; Sablowski, Robert; Thomas, Colwyn M.</t>
  </si>
  <si>
    <t>Essential Plant Biology</t>
  </si>
  <si>
    <t>B.30</t>
  </si>
  <si>
    <t>9781119437970</t>
  </si>
  <si>
    <t>Miller, Andrew D.; Tanner, Julian A.</t>
  </si>
  <si>
    <t>Essentials of Chemical Biology: Structures and Dynamics of Biological Macromolecules In Vitro and In Vivo</t>
  </si>
  <si>
    <t>B.31</t>
  </si>
  <si>
    <t>9783031220302</t>
  </si>
  <si>
    <t>Dickins, Thomas E.; Dickins, Benjamin J.A.</t>
  </si>
  <si>
    <t>Evolutionary Biology: Contemporary and Historical Reflections Upon Core Theory</t>
  </si>
  <si>
    <t>B.32</t>
  </si>
  <si>
    <t>9780192847287</t>
  </si>
  <si>
    <t>Lynch, Michael R.</t>
  </si>
  <si>
    <t>Evolutionary Cell Biology: The Origins of Cellular Architecture</t>
  </si>
  <si>
    <t>B.33</t>
  </si>
  <si>
    <t>9789819755387</t>
  </si>
  <si>
    <t>Li, Zongjin</t>
  </si>
  <si>
    <t>Extracellular Vesicle: Biology and Translational Application</t>
  </si>
  <si>
    <t>Springer Verlag, Singapore</t>
  </si>
  <si>
    <t>SG</t>
  </si>
  <si>
    <t>B.34</t>
  </si>
  <si>
    <t>9781032515434</t>
  </si>
  <si>
    <t>Voit, Eberhard; Kemp, Melissa L.</t>
  </si>
  <si>
    <t xml:space="preserve">First Course in Systems Biology, A </t>
  </si>
  <si>
    <t>Taylor &amp; Francis Ltd</t>
  </si>
  <si>
    <t>B.35</t>
  </si>
  <si>
    <t>9781032913414</t>
  </si>
  <si>
    <t>Li, Richard</t>
  </si>
  <si>
    <t>Forensic Biology</t>
  </si>
  <si>
    <t>B.36</t>
  </si>
  <si>
    <t>9783031087929</t>
  </si>
  <si>
    <t>Andre, Jean-Baptiste; Cozic, Mikael; De Monte, Silvia; Gayon, Jean; Huneman, Philippe; Martens, Johannes; Walliser, Bernard</t>
  </si>
  <si>
    <t>From Evolutionary Biology to Economics and Back: Parallels and Crossings between Economics and Evolution</t>
  </si>
  <si>
    <t>B.37</t>
  </si>
  <si>
    <t>9781032518367</t>
  </si>
  <si>
    <t>Vorholt, Julia A.; Piel, Joern; Aebi, Markus; Hilvert, Donald</t>
  </si>
  <si>
    <t>From Molecules to the Biochemistry of Cells: Fundamentals of Biology 1</t>
  </si>
  <si>
    <t>B.38</t>
  </si>
  <si>
    <t>9783031756931</t>
  </si>
  <si>
    <t>Singh, Gautam B.</t>
  </si>
  <si>
    <t>Fundamentals of Bioinformatics and Computational Biology: Methods and Exercises in MATLAB</t>
  </si>
  <si>
    <t>B.39</t>
  </si>
  <si>
    <t>9781032984360</t>
  </si>
  <si>
    <t>Saini, Supreet</t>
  </si>
  <si>
    <t>Fundamentals of Evolutionary Biology: An Introductory Guide for Physical Scientists, Engineers, and Biologists</t>
  </si>
  <si>
    <t>B.40</t>
  </si>
  <si>
    <t>9789819931606</t>
  </si>
  <si>
    <t>Puri, Avinash; Mahalakshmi, Nithyanandam; Chauhan, Tanya; Mishra, Alka; Bhatnagar, Preeti</t>
  </si>
  <si>
    <t>Fundamentals of Forensic Biology</t>
  </si>
  <si>
    <t>B.41</t>
  </si>
  <si>
    <t>9780443223358</t>
  </si>
  <si>
    <t>K Goswami, Shyamal</t>
  </si>
  <si>
    <t>Fundamentals of Redox Biology</t>
  </si>
  <si>
    <t>B.42</t>
  </si>
  <si>
    <t>9783031645907</t>
  </si>
  <si>
    <t>Geiger, Margarethe</t>
  </si>
  <si>
    <t>Fundamentals of Vascular Biology</t>
  </si>
  <si>
    <t>B.43</t>
  </si>
  <si>
    <t>9781774698624</t>
  </si>
  <si>
    <t>Upadhe, Vijay</t>
  </si>
  <si>
    <t>Gene Studies in Biology</t>
  </si>
  <si>
    <t>B.44</t>
  </si>
  <si>
    <t>9783031319846</t>
  </si>
  <si>
    <t>Vlamos, Panagiotis</t>
  </si>
  <si>
    <t>GeNeDis 2022: Computational Biology and Bioinformatics</t>
  </si>
  <si>
    <t>B.45</t>
  </si>
  <si>
    <t>9783031319808</t>
  </si>
  <si>
    <t>GeNeDis 2022: Molecular, Chemical, and Cellular Biology</t>
  </si>
  <si>
    <t>B.46</t>
  </si>
  <si>
    <t>9783032033932</t>
  </si>
  <si>
    <t>GeNeDIS 2024: AI, Data Science, and Computational Biology in Healthcare</t>
  </si>
  <si>
    <t>B.47</t>
  </si>
  <si>
    <t>9781774697924</t>
  </si>
  <si>
    <t>General Biology</t>
  </si>
  <si>
    <t>B.48</t>
  </si>
  <si>
    <t>9789819539567</t>
  </si>
  <si>
    <t>Singh, Vijai</t>
  </si>
  <si>
    <t>Handbook of Synthetic Biology</t>
  </si>
  <si>
    <t>B.49</t>
  </si>
  <si>
    <t>9781265155063</t>
  </si>
  <si>
    <t>Mader, Sylvia; Windelspecht, Michael</t>
  </si>
  <si>
    <t>Human Biology: 2025 Release ISE</t>
  </si>
  <si>
    <t>B.50</t>
  </si>
  <si>
    <t>9780443363108</t>
  </si>
  <si>
    <t>Koltai, Tomas; Fliegel, Larry</t>
  </si>
  <si>
    <t xml:space="preserve">Illustrated Guide to Cancer Biology, An </t>
  </si>
  <si>
    <t>B.51</t>
  </si>
  <si>
    <t>9781837671151</t>
  </si>
  <si>
    <t>Feng, Lei; James, Tony D</t>
  </si>
  <si>
    <t>Imaging Tools for Chemical Biology</t>
  </si>
  <si>
    <t>Royal Society of Chemistry</t>
  </si>
  <si>
    <t>B.52</t>
  </si>
  <si>
    <t>9783031365683</t>
  </si>
  <si>
    <t>Lecca, Paola; Carpentieri, Bruno</t>
  </si>
  <si>
    <t>Introduction to Mathematics for Computational Biology</t>
  </si>
  <si>
    <t>B.53</t>
  </si>
  <si>
    <t>9783031402609</t>
  </si>
  <si>
    <t>Costa, David G; Schulte, Paul J</t>
  </si>
  <si>
    <t xml:space="preserve">Invitation to Mathematical Biology, An </t>
  </si>
  <si>
    <t>B.54</t>
  </si>
  <si>
    <t>9780443191169</t>
  </si>
  <si>
    <t>Bhattacharya, Sanjoy K.</t>
  </si>
  <si>
    <t>Lipid Analysis in Biology, Health, and Disease</t>
  </si>
  <si>
    <t>B.55</t>
  </si>
  <si>
    <t>9781032193908</t>
  </si>
  <si>
    <t>Pan, Jeronimo; Pratolongo, Paula</t>
  </si>
  <si>
    <t>Marine Biology: A Functional Approach to the Oceans and their Organisms</t>
  </si>
  <si>
    <t>B.56</t>
  </si>
  <si>
    <t>9781394200078</t>
  </si>
  <si>
    <t>Danovaro, Roberto; Snelgrove, Paul</t>
  </si>
  <si>
    <t>Marine Biology: Comparative Ecology of Planet Ocean</t>
  </si>
  <si>
    <t>B.57</t>
  </si>
  <si>
    <t>9780198854630</t>
  </si>
  <si>
    <t>Maini, Philip K.</t>
  </si>
  <si>
    <t>Mathematical Biology: A Very Short Introduction</t>
  </si>
  <si>
    <t>B.58</t>
  </si>
  <si>
    <t>9780262049405</t>
  </si>
  <si>
    <t>Meister, Markus; Lee, Kyu Hyun</t>
  </si>
  <si>
    <t>Mathematics in Biology</t>
  </si>
  <si>
    <t>MIT Press</t>
  </si>
  <si>
    <t>B.59</t>
  </si>
  <si>
    <t>9783032008725</t>
  </si>
  <si>
    <t>Giuggioli, Luca; Maini, Philip K.</t>
  </si>
  <si>
    <t>Mathematics of Movement, The : An Interdisciplinary Approach to Mutual Challenges in Animal Ecology and Cell Biology</t>
  </si>
  <si>
    <t>B.60</t>
  </si>
  <si>
    <t>9781032458823</t>
  </si>
  <si>
    <t>Tyagi, Adish; Chauhan, Rohit Singh; Tyagi, A. K.</t>
  </si>
  <si>
    <t>Metal Ions in Biology</t>
  </si>
  <si>
    <t>B.61</t>
  </si>
  <si>
    <t>9781032673561</t>
  </si>
  <si>
    <t>Sirhindi, Geetika; Bhardwaj, Renu; Kapoor, Nitika; Seth, Chandra Shekhar</t>
  </si>
  <si>
    <t>Metalloids in Biology: From Function to Toxicity</t>
  </si>
  <si>
    <t>B.62</t>
  </si>
  <si>
    <t>9789819913336</t>
  </si>
  <si>
    <t>Afify, Said M.; Seno, Masaharu</t>
  </si>
  <si>
    <t>Methods in Cancer Stem Cell Biology</t>
  </si>
  <si>
    <t>B.63</t>
  </si>
  <si>
    <t>9781071647059</t>
  </si>
  <si>
    <t>Papadimitriou, Evangelia; Mikelis, Constantinos M.</t>
  </si>
  <si>
    <t>Methods in Cardiovascular and Lymphatic Biology</t>
  </si>
  <si>
    <t>Humana</t>
  </si>
  <si>
    <t>B.64</t>
  </si>
  <si>
    <t>9789819712557</t>
  </si>
  <si>
    <t>Sreeharsha, Rachapudi V.; Venkata Mohan, S.</t>
  </si>
  <si>
    <t>Microbial Photosynthesis: From Basic Biology to Artificial Cell Factories and Industrial Applications</t>
  </si>
  <si>
    <t>B.65</t>
  </si>
  <si>
    <t>9780443416965</t>
  </si>
  <si>
    <t>Joshi, Samiksha; Gangola, Saurabh; Srivastava, Pragati; Suyal, Deep Chandra; Bhandari, Geeta</t>
  </si>
  <si>
    <t>Microbial Stress Biology</t>
  </si>
  <si>
    <t>B.66</t>
  </si>
  <si>
    <t>9781032732121</t>
  </si>
  <si>
    <t>Lostroh, Phoebe</t>
  </si>
  <si>
    <t>Molecular and Cellular Biology of Viruses</t>
  </si>
  <si>
    <t>B.67</t>
  </si>
  <si>
    <t>9780198899693</t>
  </si>
  <si>
    <t>Pecorino, Lauren</t>
  </si>
  <si>
    <t>Molecular Biology of Cancer: Mechanisms, Targets, and Therapeutics</t>
  </si>
  <si>
    <t>B.68</t>
  </si>
  <si>
    <t>9781800628809</t>
  </si>
  <si>
    <t>Waseem, Muhammad; Liu, Professor Pingwu</t>
  </si>
  <si>
    <t>Molecular Biology of Plant Stress Responses</t>
  </si>
  <si>
    <t>CABI Publishing</t>
  </si>
  <si>
    <t>B.69</t>
  </si>
  <si>
    <t>9780192897350</t>
  </si>
  <si>
    <t>Ladomery, Michael; Elliott, David</t>
  </si>
  <si>
    <t xml:space="preserve">Molecular Biology of RNA, The </t>
  </si>
  <si>
    <t>B.70</t>
  </si>
  <si>
    <t>9789819741656</t>
  </si>
  <si>
    <t>Omkar</t>
  </si>
  <si>
    <t>Mosquitoes: Biology, Pathogenicity and Management</t>
  </si>
  <si>
    <t>B.71</t>
  </si>
  <si>
    <t>9781032464893</t>
  </si>
  <si>
    <t>Babu, Hafiz Md. Hasan</t>
  </si>
  <si>
    <t>Multiple-Valued Computing in Quantum Molecular Biology, Two-Volume Set [PACK OF  1x2 ]</t>
  </si>
  <si>
    <t>Book</t>
  </si>
  <si>
    <t>B.72</t>
  </si>
  <si>
    <t>9781032464916</t>
  </si>
  <si>
    <t>Multiple-Valued Computing in Quantum Molecular Biology: Arithmetic and Combinational Circuits</t>
  </si>
  <si>
    <t>B.73</t>
  </si>
  <si>
    <t>9781032464909</t>
  </si>
  <si>
    <t>Multiple-Valued Computing in Quantum Molecular Biology: Sequential Circuits, Memory Devices, Programmable Logic Devices, and Nanoprocessors</t>
  </si>
  <si>
    <t>B.74</t>
  </si>
  <si>
    <t>9781032964768</t>
  </si>
  <si>
    <t>Russell, B.D.; Todd, P. A.</t>
  </si>
  <si>
    <t>Oceanography and Marine Biology: An Annual Review</t>
  </si>
  <si>
    <t>B.75</t>
  </si>
  <si>
    <t>9781032533100</t>
  </si>
  <si>
    <t>Cook, Daniel L.; Gennari, John H.; Neal, Maxwell L.</t>
  </si>
  <si>
    <t>Ontology of Physics for Biology, The : Semantic Modeling of Multiscale, Multidomain Physiological Systems</t>
  </si>
  <si>
    <t>B.76</t>
  </si>
  <si>
    <t>9780192893598</t>
  </si>
  <si>
    <t>Chipman, Ariel D.</t>
  </si>
  <si>
    <t>Organismic Animal Biology: An Evolutionary Approach</t>
  </si>
  <si>
    <t>B.77</t>
  </si>
  <si>
    <t>9780443214691</t>
  </si>
  <si>
    <t>Wayne, Randy O.</t>
  </si>
  <si>
    <t>Plant Cell Biology: From Astronomy to Zoology</t>
  </si>
  <si>
    <t>B.78</t>
  </si>
  <si>
    <t>9781394317424</t>
  </si>
  <si>
    <t>Garzon, Max; Garcia, Luis F.; Colorado, Alexander</t>
  </si>
  <si>
    <t>Predictive Methods for Genomics and Evolution: Towards a New Analytical Biology</t>
  </si>
  <si>
    <t>B.79</t>
  </si>
  <si>
    <t>9781032731254</t>
  </si>
  <si>
    <t>Rana, Tanmoy</t>
  </si>
  <si>
    <t>Principles of Animal Behaviour: Aspects of Behavioural Biology and Evolution</t>
  </si>
  <si>
    <t>B.80</t>
  </si>
  <si>
    <t>9781041170150</t>
  </si>
  <si>
    <t>Conant, Gavin</t>
  </si>
  <si>
    <t>Quantitative Biology: Life from the Numbers</t>
  </si>
  <si>
    <t>B.81</t>
  </si>
  <si>
    <t>9783031580802</t>
  </si>
  <si>
    <t>Fornes, Jose Antonio</t>
  </si>
  <si>
    <t>Quantum Processes in Biology</t>
  </si>
  <si>
    <t>B.82</t>
  </si>
  <si>
    <t>9780198848448</t>
  </si>
  <si>
    <t>Hinson, Joy; Raven, Peter</t>
  </si>
  <si>
    <t>Reproduction Biology</t>
  </si>
  <si>
    <t>B.83</t>
  </si>
  <si>
    <t>9781032660806</t>
  </si>
  <si>
    <t>RNA Synthetic Biology: Fundamentals and Applications</t>
  </si>
  <si>
    <t>B.84</t>
  </si>
  <si>
    <t>9781032423289</t>
  </si>
  <si>
    <t>Hollins, Mark</t>
  </si>
  <si>
    <t>Sensory Systems of Animals: Biology and Behavior</t>
  </si>
  <si>
    <t>B.85</t>
  </si>
  <si>
    <t>9788770043069</t>
  </si>
  <si>
    <t>Durand, Charles; Charbord, Pierre</t>
  </si>
  <si>
    <t>Stem Cell Biology and Regenerative Medicine</t>
  </si>
  <si>
    <t>River Publishers</t>
  </si>
  <si>
    <t>DK</t>
  </si>
  <si>
    <t>B.86</t>
  </si>
  <si>
    <t>9781800616721</t>
  </si>
  <si>
    <t>Forster, Anthony C; Bao, Letian; Liljeruhm, Josefine</t>
  </si>
  <si>
    <t>Synthetic Biology: A Lab Manual</t>
  </si>
  <si>
    <t>World Scientific Europe Ltd</t>
  </si>
  <si>
    <t>B.87</t>
  </si>
  <si>
    <t>9781071636602</t>
  </si>
  <si>
    <t>Braman, Jeffrey Carl</t>
  </si>
  <si>
    <t>Synthetic Biology: Methods and Protocols</t>
  </si>
  <si>
    <t>B.88</t>
  </si>
  <si>
    <t>9781071635797</t>
  </si>
  <si>
    <t>Bizzarri, Mariano</t>
  </si>
  <si>
    <t>Systems Biology</t>
  </si>
  <si>
    <t>B.89</t>
  </si>
  <si>
    <t>9781032783703</t>
  </si>
  <si>
    <t>Sengupta, Abhishek; Narad, Priyanka; Gupta, Dinesh; Modi, Deepak</t>
  </si>
  <si>
    <t>Systems Biology and Machine Learning Methods in Reproductive Health</t>
  </si>
  <si>
    <t>Chapman &amp; Hall/CRC</t>
  </si>
  <si>
    <t>B.90</t>
  </si>
  <si>
    <t>9783031840845</t>
  </si>
  <si>
    <t>Kriska, Gyoergy</t>
  </si>
  <si>
    <t>Teaching Biology: Photosynthetic Organisms</t>
  </si>
  <si>
    <t>B.91</t>
  </si>
  <si>
    <t>9789819745869</t>
  </si>
  <si>
    <t>Tominaga, Makoto; Takagi, Masahiro</t>
  </si>
  <si>
    <t>Thermal Biology: Temperature Sensing and Temperature-Responding Systems</t>
  </si>
  <si>
    <t>B.92</t>
  </si>
  <si>
    <t>9781421451695</t>
  </si>
  <si>
    <t>Powell, Jeffrey R.</t>
  </si>
  <si>
    <t>Three Mosquitoes: The Biology of Deadly Insects</t>
  </si>
  <si>
    <t>B.93</t>
  </si>
  <si>
    <t>9789819600014</t>
  </si>
  <si>
    <t>Kalia, Rajwant K.; Pathak, Rakesh</t>
  </si>
  <si>
    <t>Tree Biology and Biotechnology</t>
  </si>
  <si>
    <t>B.94</t>
  </si>
  <si>
    <t>9781009575669</t>
  </si>
  <si>
    <t>Kaneko, Kunihiko</t>
  </si>
  <si>
    <t>Universal Biology: The Physics of Life through the Macro-Micro Consistency Principle</t>
  </si>
  <si>
    <t>Cambridge University Press</t>
  </si>
  <si>
    <t>B.95</t>
  </si>
  <si>
    <t>9781036457181</t>
  </si>
  <si>
    <t>Mashaal, Alya; El-Dahshan, Asmaa Abd Elhadi; Shalaby, Walaa T.</t>
  </si>
  <si>
    <t>Zoology Unveiled: Cells, Immunity, Systems and Vertebrate Biology</t>
  </si>
  <si>
    <t>Cambridge Scholars Publishing</t>
  </si>
  <si>
    <t>Biotechnology:</t>
  </si>
  <si>
    <t>Genetic Engineering; Recombinant DNA Technology; Molecular &amp; Medical Biotechnology; Industrial &amp; Environmental Biotechnology; Agricultural Biotechnology; Bioinformatics; Bioprocess &amp; Fermentation Technology.</t>
  </si>
  <si>
    <t>C.01</t>
  </si>
  <si>
    <t>9781032590745</t>
  </si>
  <si>
    <t>Gupta, Arti; Rastegari, Ali Asghar</t>
  </si>
  <si>
    <t>Advances and Applications in Biotechnology: Volume 1 - Prospects of Farm Animals and Future Developments</t>
  </si>
  <si>
    <t>C.02</t>
  </si>
  <si>
    <t>9781036456054</t>
  </si>
  <si>
    <t>Sahoo, Jyoti Prakash; Dash, Soumyashree; Sahu, Subhashree</t>
  </si>
  <si>
    <t>Advances in Environmental Biotechnology: Solutions for Global Challenges</t>
  </si>
  <si>
    <t>C.03</t>
  </si>
  <si>
    <t>9781032214481</t>
  </si>
  <si>
    <t>Adetunji, Charles Oluwaseun; Panpatte, Deepak Gopalrao; Jhala, Yogeshvari Kishorsinh</t>
  </si>
  <si>
    <t>Agricultural Biotechnology: Food Security Hot Spots</t>
  </si>
  <si>
    <t>C.04</t>
  </si>
  <si>
    <t>9781774919200</t>
  </si>
  <si>
    <t>Akhtar, Mohd. Sayeed; Hakeem, Khalid Rehman</t>
  </si>
  <si>
    <t>Agricultural Biotechnology: Issues, Challenges, and Recent Developments</t>
  </si>
  <si>
    <t>C.05</t>
  </si>
  <si>
    <t>9781032398242</t>
  </si>
  <si>
    <t>Makhzoum, Abdullah; Hefferon, Kathleen</t>
  </si>
  <si>
    <t>Applications in Plant Biotechnology: Focus on Plant Secondary Metabolism and Plant Molecular Pharming</t>
  </si>
  <si>
    <t>C.06</t>
  </si>
  <si>
    <t>9781119896401</t>
  </si>
  <si>
    <t>Thatoi, Hrudayanath; Mohapatra, Sonali; Das, Swagat Kumar; Pradhan, Sukanta Kumar</t>
  </si>
  <si>
    <t>Applied Biotechnology and Bioinformatics: Agriculture, Pharmaceutical Research and Environment</t>
  </si>
  <si>
    <t>Wiley-Scrivener</t>
  </si>
  <si>
    <t>C.07</t>
  </si>
  <si>
    <t>9781032018416</t>
  </si>
  <si>
    <t>Esiobu, Nwadiuto (Diuto); Ogbonna, James C.; Oluwaseun Adetunji, Charles; Obembe, Olawole O.; Ezeonu, Ifeoma Maureen; Ibrahim, Abdulrazak B.; Ubi, Benjamin Ewa</t>
  </si>
  <si>
    <t>Bioenergy and Environmental Biotechnology for Sustainable Development</t>
  </si>
  <si>
    <t>C.08</t>
  </si>
  <si>
    <t>9783032084545</t>
  </si>
  <si>
    <t>Rojas, Ignacio; Ortuno, Francisco; Rojas Ruiz, Fernando; Herrera, Luis Javier; Valenzuela, Olga; Escobar, Juan Jose</t>
  </si>
  <si>
    <t>Bioinformatics and Biomedical Engineering: 12th International Conference, IWBBIO 2025, Gran Canaria, Spain, July 16-18, 2025, Proceedings, Part I</t>
  </si>
  <si>
    <t>C.09</t>
  </si>
  <si>
    <t>9781394209934</t>
  </si>
  <si>
    <t>Chen, Jen-Tsung</t>
  </si>
  <si>
    <t>Bioinformatics for Plant Research and Crop Breeding</t>
  </si>
  <si>
    <t>C.10</t>
  </si>
  <si>
    <t>9789819751273</t>
  </si>
  <si>
    <t>Peng, Wei; Cai, Zhipeng; Skums, Pavel</t>
  </si>
  <si>
    <t>Bioinformatics Research and Applications: 20th International Symposium, ISBRA 2024, Kunming, China, July 19-21, 2024, Proceedings, Part I</t>
  </si>
  <si>
    <t>C.11</t>
  </si>
  <si>
    <t>9781032128740</t>
  </si>
  <si>
    <t>Ismail, Hamid D.</t>
  </si>
  <si>
    <t>Bioinformatics: A Practical Guide to NCBI Databases and Sequence Alignments</t>
  </si>
  <si>
    <t>C.12</t>
  </si>
  <si>
    <t>9780367675615</t>
  </si>
  <si>
    <t>Bhunia, Biswanath; Joshi, Navneet; Muhuraja, Muthusivaramapandian</t>
  </si>
  <si>
    <t>Bioprocess Engineering and Technology: Three-Volume Set: Fundamentals, Upstream and Downstream Processing and Plant Design [PACK OF  1x3 ]</t>
  </si>
  <si>
    <t>C.13</t>
  </si>
  <si>
    <t>9783031600609</t>
  </si>
  <si>
    <t>Silva, Ana Catarina</t>
  </si>
  <si>
    <t>Biotechnology for Pharmaceutical Sciences: Concepts and Applications</t>
  </si>
  <si>
    <t>C.14</t>
  </si>
  <si>
    <t>9780443276248</t>
  </si>
  <si>
    <t>Pandey, Ashok; Larroche, Christian; Soccol, Carlos Ricardo; Singhania, Reeta Rani</t>
  </si>
  <si>
    <t>Current Advances in Solid-State Fermentation: Current Developments in Biotechnology and Bioengineering</t>
  </si>
  <si>
    <t>C.15</t>
  </si>
  <si>
    <t>9781032224503</t>
  </si>
  <si>
    <t>G, Sibi</t>
  </si>
  <si>
    <t>Environmental Biotechnology: Fundamentals to Modern Techniques</t>
  </si>
  <si>
    <t>C.16</t>
  </si>
  <si>
    <t>9781260441604</t>
  </si>
  <si>
    <t>Rittmann, Bruce</t>
  </si>
  <si>
    <t>Environmental Biotechnology: Principles and Applications, Second Edition (Paperback)</t>
  </si>
  <si>
    <t>C.17</t>
  </si>
  <si>
    <t>9781774638316</t>
  </si>
  <si>
    <t>Bhat, Rouf Ahmad; Dervash, Moonisa Aslam; Hakeem, Khalid Rehman; Masoodi, Khalid Zaffar</t>
  </si>
  <si>
    <t>Environmental Biotechnology: Sustainable Remediation of Contamination in Different Environs</t>
  </si>
  <si>
    <t>C.18</t>
  </si>
  <si>
    <t>9781774698013</t>
  </si>
  <si>
    <t>Singh, Akansha</t>
  </si>
  <si>
    <t>Essentials of Bioinformatics: An Introduction for Undergraduates</t>
  </si>
  <si>
    <t>C.19</t>
  </si>
  <si>
    <t>9781032295558</t>
  </si>
  <si>
    <t>Talukder, Pratik; Tandon, Ritesh; Pal, Uttam</t>
  </si>
  <si>
    <t>Exploring Medical Biotechnology- in vivo, in vitro, in silico: Biotechnology from Labs to Clinics and Basic to Advanced</t>
  </si>
  <si>
    <t>C.21</t>
  </si>
  <si>
    <t>9781032996530</t>
  </si>
  <si>
    <t>Shetty, Kalidas; Galvez Ranilla, Lena</t>
  </si>
  <si>
    <t>Fermentation Biotechnology for Functional Foods</t>
  </si>
  <si>
    <t>C.22</t>
  </si>
  <si>
    <t>9781787154391</t>
  </si>
  <si>
    <t>Vasquez, Adrian; Cook, Joseph</t>
  </si>
  <si>
    <t>Fermentation Microbiology and Biotechnology</t>
  </si>
  <si>
    <t>Kruger Brentt Publisher Uk. Ltd.</t>
  </si>
  <si>
    <t>C.23</t>
  </si>
  <si>
    <t>9786207996575</t>
  </si>
  <si>
    <t>Garg, Hari Krishna</t>
  </si>
  <si>
    <t>Genetic Engineering: From Theory to Practice</t>
  </si>
  <si>
    <t>LAP Lambert Academic Publishing</t>
  </si>
  <si>
    <t>C.24</t>
  </si>
  <si>
    <t>9781800627758</t>
  </si>
  <si>
    <t>Miglani, Gurbachan Singh; Chhuneja, Parveen; Gosal, Satbir Singh</t>
  </si>
  <si>
    <t>Glossary of Agricultural Biotechnology</t>
  </si>
  <si>
    <t>C.25</t>
  </si>
  <si>
    <t>9780367517878</t>
  </si>
  <si>
    <t>Liu, Dongyou</t>
  </si>
  <si>
    <t>Handbook of Molecular Biotechnology</t>
  </si>
  <si>
    <t>C.26</t>
  </si>
  <si>
    <t>9783111329932</t>
  </si>
  <si>
    <t>Benvenuto, Mark Anthony</t>
  </si>
  <si>
    <t>Industrial Biotechnology</t>
  </si>
  <si>
    <t>C.27</t>
  </si>
  <si>
    <t>9780367769567</t>
  </si>
  <si>
    <t>Das, Debabrata; Pandit, Soumya</t>
  </si>
  <si>
    <t>C.28</t>
  </si>
  <si>
    <t>9789819762729</t>
  </si>
  <si>
    <t>Verma, Pradeep</t>
  </si>
  <si>
    <t>Industrial Microbiology and Biotechnology: A New Horizon of the Microbial World</t>
  </si>
  <si>
    <t>C.29</t>
  </si>
  <si>
    <t>9781779563262</t>
  </si>
  <si>
    <t>Correa, Natassia</t>
  </si>
  <si>
    <t xml:space="preserve">Introduction to Molecular Biotechnology, An </t>
  </si>
  <si>
    <t>C.30</t>
  </si>
  <si>
    <t>C.31</t>
  </si>
  <si>
    <t>9781032015026</t>
  </si>
  <si>
    <t>Medical Biotechnology, Biopharmaceutics, Forensic Science and Bioinformatics</t>
  </si>
  <si>
    <t>C.33</t>
  </si>
  <si>
    <t>9781394217212</t>
  </si>
  <si>
    <t>Stewart, C. Neal</t>
  </si>
  <si>
    <t>Plant Biotechnology and Genetics: Principles, Techniques, and Applications</t>
  </si>
  <si>
    <t>Biochemistry:</t>
  </si>
  <si>
    <t>General &amp; Applied Biochemistry; Enzymology; Metabolism; Molecular &amp; Structural Biochemistry; Clinical &amp; Nutritional Biochemistry; Hormones &amp; Signal Transduction.</t>
  </si>
  <si>
    <t>D.01</t>
  </si>
  <si>
    <t>D.02</t>
  </si>
  <si>
    <t>9781032814148</t>
  </si>
  <si>
    <t>Ochs, Raymond S</t>
  </si>
  <si>
    <t>Biochemistry</t>
  </si>
  <si>
    <t>D.03</t>
  </si>
  <si>
    <t>9798214193601</t>
  </si>
  <si>
    <t>Trevino, Saul; Campbell, Mary</t>
  </si>
  <si>
    <t>D.04</t>
  </si>
  <si>
    <t>9781119605041</t>
  </si>
  <si>
    <t>MacLaren, Donald; Morton, James</t>
  </si>
  <si>
    <t>Biochemistry for Sport and Exercise Metabolism</t>
  </si>
  <si>
    <t>D.05</t>
  </si>
  <si>
    <t>9781319498481</t>
  </si>
  <si>
    <t>Hines, Justin; Catherine, Reinke; John, Tymoczko</t>
  </si>
  <si>
    <t>Biochemistry: A Short Course</t>
  </si>
  <si>
    <t>W.H.Freeman &amp; Co Ltd</t>
  </si>
  <si>
    <t>D.06</t>
  </si>
  <si>
    <t>9781032996196</t>
  </si>
  <si>
    <t>Smith, Michael B.</t>
  </si>
  <si>
    <t>Biochemistry: An Organic Chemistry Approach</t>
  </si>
  <si>
    <t>D.07</t>
  </si>
  <si>
    <t>9781975219871</t>
  </si>
  <si>
    <t>Lieberman, Michael A.; Schoch, Emma C.</t>
  </si>
  <si>
    <t>BRS Biochemistry, Molecular Biology, and Genetics</t>
  </si>
  <si>
    <t>D.08</t>
  </si>
  <si>
    <t>9783111108346</t>
  </si>
  <si>
    <t>Perez-Castineira, Jose</t>
  </si>
  <si>
    <t>Chemistry and Biochemistry of Food</t>
  </si>
  <si>
    <t>D.09</t>
  </si>
  <si>
    <t>9780198845645</t>
  </si>
  <si>
    <t>Ahmed, Nessar</t>
  </si>
  <si>
    <t>Clinical Biochemistry</t>
  </si>
  <si>
    <t>D.10</t>
  </si>
  <si>
    <t>9781119431954</t>
  </si>
  <si>
    <t>Snider</t>
  </si>
  <si>
    <t>Devlin's Textbook of Biochemistry with Clinical Co rrelations, 8th Edition</t>
  </si>
  <si>
    <t>D.11</t>
  </si>
  <si>
    <t>9781394223275</t>
  </si>
  <si>
    <t>Pratt, Charlotte W.; Cornely, Kathleen</t>
  </si>
  <si>
    <t>Essential Biochemistry, International Adaptation</t>
  </si>
  <si>
    <t>D.12</t>
  </si>
  <si>
    <t>9781032886107</t>
  </si>
  <si>
    <t>Malik, Darshan; Narayanasamy, Nandita; Pratyusha, V A</t>
  </si>
  <si>
    <t>Essential Laboratory Techniques and Biochemical Analysis</t>
  </si>
  <si>
    <t>D.13</t>
  </si>
  <si>
    <t>9781394374519</t>
  </si>
  <si>
    <t>Heilman, Destin; Woski, Stephen; Voet, Donald; Voet, Judith G.; Pratt, Charlotte W.</t>
  </si>
  <si>
    <t>Fundamentals of Biochemistry, International Adaptation</t>
  </si>
  <si>
    <t>D.14</t>
  </si>
  <si>
    <t>9781264984510</t>
  </si>
  <si>
    <t>Denniston, Katherine; Quirk, Danae; Topping, Joseph; Caret, Robert</t>
  </si>
  <si>
    <t>General, Organic, and Biochemistry: 2025 Release ISE</t>
  </si>
  <si>
    <t>D.15</t>
  </si>
  <si>
    <t>9780443193460</t>
  </si>
  <si>
    <t>Donev, Rossen</t>
  </si>
  <si>
    <t>Hormones: Volume 142</t>
  </si>
  <si>
    <t>D.16</t>
  </si>
  <si>
    <t>9781265975951</t>
  </si>
  <si>
    <t>Kennelly</t>
  </si>
  <si>
    <t>IE Harper's Illustrated Biochemistry, Thirty- Third Edition</t>
  </si>
  <si>
    <t>D.17</t>
  </si>
  <si>
    <t>9781032249247</t>
  </si>
  <si>
    <t>Bansal, Shyam S.</t>
  </si>
  <si>
    <t>Immune Cells, Inflammation, and Cardiovascular Diseases</t>
  </si>
  <si>
    <t>D.18</t>
  </si>
  <si>
    <t>9789811995842</t>
  </si>
  <si>
    <t>Zhang, Lihe</t>
  </si>
  <si>
    <t>Investigations on Signal Transduction Processes Utilizing Small Chemical Probes</t>
  </si>
  <si>
    <t>D.19</t>
  </si>
  <si>
    <t>9781394179794</t>
  </si>
  <si>
    <t>Holdgate, Geoffrey A.; Turberville, Antonia; Lanne, Alice</t>
  </si>
  <si>
    <t>Laboratory Guide to Enzymology</t>
  </si>
  <si>
    <t>D.20</t>
  </si>
  <si>
    <t>9781319589967</t>
  </si>
  <si>
    <t>Cox, Michael; Aaron, Hoskins; Alain, Viel; Judith, Simcox</t>
  </si>
  <si>
    <t>Lehninger Biochemistry: Core Concepts and Applications</t>
  </si>
  <si>
    <t>D.21</t>
  </si>
  <si>
    <t>9781975220501</t>
  </si>
  <si>
    <t>Abali, Emine Ercikan; Cline, Susan D.; Franklin, David S.; Viselli, Dr. Susan M.</t>
  </si>
  <si>
    <t>Lippincott (R) Illustrated Reviews: Biochemistry</t>
  </si>
  <si>
    <t>D.22</t>
  </si>
  <si>
    <t>9781032126715</t>
  </si>
  <si>
    <t>Fertig, Brian</t>
  </si>
  <si>
    <t>Metabolism and Medicine: Two Volume Set [PACK OF  1x2 ]</t>
  </si>
  <si>
    <t>D.23</t>
  </si>
  <si>
    <t>9780850140781</t>
  </si>
  <si>
    <t>Karamanos, Yannis</t>
  </si>
  <si>
    <t>Metabolism Annual Volume 2024</t>
  </si>
  <si>
    <t>IntechOpen</t>
  </si>
  <si>
    <t>D.24</t>
  </si>
  <si>
    <t>9789811941528</t>
  </si>
  <si>
    <t>Malik, Darshan; Narayanasamy, Nandita; Pratyusha, V A; Thakur, Jayita; Sinha, Nimisha</t>
  </si>
  <si>
    <t>Textbook of Nutritional Biochemistry</t>
  </si>
  <si>
    <t>D.25</t>
  </si>
  <si>
    <t>9781032515335</t>
  </si>
  <si>
    <t>Zhu, Michael Xi</t>
  </si>
  <si>
    <t>TRP-Mediated Signaling</t>
  </si>
  <si>
    <t>Chemistry:</t>
  </si>
  <si>
    <t>Organic; Inorganic; Physical; Analytical &amp; Instrumental Chemistry; Environmental &amp; Green Chemistry; Polymer &amp; Materials Chemistry.</t>
  </si>
  <si>
    <t>E.01</t>
  </si>
  <si>
    <t>9781774919385</t>
  </si>
  <si>
    <t>Tatrishvili, Tamara; Medard Abadie, Marc Jean</t>
  </si>
  <si>
    <t>Advanced Topics in Polymer Chemistry and Materials Science</t>
  </si>
  <si>
    <t>E.02</t>
  </si>
  <si>
    <t>9781837693894</t>
  </si>
  <si>
    <t>Shah, Kinjal J.</t>
  </si>
  <si>
    <t>Advances in Green Chemistry: Prevention-Assurance-Sustainability (P-A-S) Approach</t>
  </si>
  <si>
    <t>E.03</t>
  </si>
  <si>
    <t>9781394355082</t>
  </si>
  <si>
    <t>Holloway, Michael D.</t>
  </si>
  <si>
    <t xml:space="preserve">Analytical Chemistry Laboratory Companion, The </t>
  </si>
  <si>
    <t>E.05</t>
  </si>
  <si>
    <t>9781119894452</t>
  </si>
  <si>
    <t>Ham, Bryan M.; MaHam, Aihui</t>
  </si>
  <si>
    <t>Analytical Chemistry: A Toolkit for Scientists and Laboratory Technicians</t>
  </si>
  <si>
    <t>E.06</t>
  </si>
  <si>
    <t>9783031267598</t>
  </si>
  <si>
    <t>Malhotra, Priti</t>
  </si>
  <si>
    <t>Analytical Chemistry: Basic Techniques and Methods</t>
  </si>
  <si>
    <t>E.07</t>
  </si>
  <si>
    <t>9781032591117</t>
  </si>
  <si>
    <t>Thatai, Sheenam; Jeyaseelan, Christine; Khurana, Parul</t>
  </si>
  <si>
    <t>Chemistry of Advanced Materials</t>
  </si>
  <si>
    <t>E.08</t>
  </si>
  <si>
    <t>9781292472263</t>
  </si>
  <si>
    <t>Timberlake, Karen</t>
  </si>
  <si>
    <t>Chemistry: An Introduction to General, Organic, and Biological Chemistry, Global Edition</t>
  </si>
  <si>
    <t>E.09</t>
  </si>
  <si>
    <t>9780443157424</t>
  </si>
  <si>
    <t>Toeroek, Bela</t>
  </si>
  <si>
    <t>Encyclopedia of Green Chemistry- [PACK OF  1x4 ]</t>
  </si>
  <si>
    <t>E.10</t>
  </si>
  <si>
    <t>9789819600724</t>
  </si>
  <si>
    <t>Tian, Zhen-Yu</t>
  </si>
  <si>
    <t>Environmental Chemistry: Advanced Concepts and Applications</t>
  </si>
  <si>
    <t>E.11</t>
  </si>
  <si>
    <t>9780367560546</t>
  </si>
  <si>
    <t>Manahan, Stanley E.</t>
  </si>
  <si>
    <t>Environmental Chemistry: Eleventh Edition</t>
  </si>
  <si>
    <t>E.12</t>
  </si>
  <si>
    <t>9783110443301</t>
  </si>
  <si>
    <t>Rihana-Abdallah, Alexa N.; Benvenuto, Mark Anthony; Roberts-Kirchhoff, Elizabeth S.; Lanigan, Katherine; Evans, Kendra R.</t>
  </si>
  <si>
    <t>Environmental Chemistry: Principles and Practices</t>
  </si>
  <si>
    <t>E.13</t>
  </si>
  <si>
    <t>9780357453421</t>
  </si>
  <si>
    <t>Seager, Spencer; Seager, Spencer; Rye-McCurdy, Tiffiny; Yoder, Ryan</t>
  </si>
  <si>
    <t>Fundamentals of Chemistry for Today: General, Organic, and Biochemistry</t>
  </si>
  <si>
    <t>E.14</t>
  </si>
  <si>
    <t>9781032039152</t>
  </si>
  <si>
    <t>Burgot, Gwenola; Burgot, Jean-Louis</t>
  </si>
  <si>
    <t>General Analytical Chemistry: Separation and Spectral Methods</t>
  </si>
  <si>
    <t>E.15</t>
  </si>
  <si>
    <t>9780443161223</t>
  </si>
  <si>
    <t>Locatelli, Marcello; Kaya, Savas</t>
  </si>
  <si>
    <t>Green Analytical Chemistry: Current Status and Future Perspectives in Sample Preparation</t>
  </si>
  <si>
    <t>E.16</t>
  </si>
  <si>
    <t>E.17</t>
  </si>
  <si>
    <t>9781394164127</t>
  </si>
  <si>
    <t>Jimenez-Gonzalez, Concepcion; Constable, David J. C.</t>
  </si>
  <si>
    <t>Green and Sustainable Chemistry and Engineering: A Practical Design Approach</t>
  </si>
  <si>
    <t>E.18</t>
  </si>
  <si>
    <t>9781032433752</t>
  </si>
  <si>
    <t>Kumar, Vinay; Tsatsaragkou, Kleopatra; Asim, Nilofar</t>
  </si>
  <si>
    <t>Green Chemistry in Agriculture and Food Production</t>
  </si>
  <si>
    <t>E.19</t>
  </si>
  <si>
    <t>9781837672721</t>
  </si>
  <si>
    <t>Lancaster, Mike</t>
  </si>
  <si>
    <t>Green Chemistry: An Introductory Text</t>
  </si>
  <si>
    <t>E.20</t>
  </si>
  <si>
    <t>9783111329444</t>
  </si>
  <si>
    <t>Industrial Inorganic Chemistry</t>
  </si>
  <si>
    <t>E.21</t>
  </si>
  <si>
    <t>9781774697535</t>
  </si>
  <si>
    <t>Motola, Martin</t>
  </si>
  <si>
    <t>Inorganic Chemistry</t>
  </si>
  <si>
    <t>E.22</t>
  </si>
  <si>
    <t>9780198905998</t>
  </si>
  <si>
    <t>Odom, Aaron L.; Beaulac, Remi; Johnson, Adam R.; Smith, Mitch R.; McCusker, James K.; Nataro, Chip</t>
  </si>
  <si>
    <t>Inorganic Chemistry: An Integrated Approach</t>
  </si>
  <si>
    <t>E.23</t>
  </si>
  <si>
    <t>9781041023166</t>
  </si>
  <si>
    <t>Soni, PL; Soni, Vandna</t>
  </si>
  <si>
    <t>Inorganic Chemistry: Concepts and Main Group of Elements</t>
  </si>
  <si>
    <t>E.24</t>
  </si>
  <si>
    <t>9781032851563</t>
  </si>
  <si>
    <t>Keighley, Nathan</t>
  </si>
  <si>
    <t>Introduction to Organic and Medicinal Chemistry</t>
  </si>
  <si>
    <t>E.25</t>
  </si>
  <si>
    <t>9781292471419</t>
  </si>
  <si>
    <t>Bruice, Paula</t>
  </si>
  <si>
    <t>Organic Chemistry, Global Edition</t>
  </si>
  <si>
    <t>E.26</t>
  </si>
  <si>
    <t>9798823359825</t>
  </si>
  <si>
    <t>Zhdankin, Viktor; Grundt, Peter</t>
  </si>
  <si>
    <t>Organic Chemistry: A Two-Semester Course of Essential Organic Chemistry</t>
  </si>
  <si>
    <t>Cognella, Inc</t>
  </si>
  <si>
    <t>E.27</t>
  </si>
  <si>
    <t>9781032006161</t>
  </si>
  <si>
    <t>Organic Chemistry: An Acid-Base Approach, Third Edition</t>
  </si>
  <si>
    <t>E.28</t>
  </si>
  <si>
    <t>9781032664903</t>
  </si>
  <si>
    <t>Deakin, Jeffrey John</t>
  </si>
  <si>
    <t>Organic Chemistry: Miracles from Plants</t>
  </si>
  <si>
    <t>E.29</t>
  </si>
  <si>
    <t>9781032766058</t>
  </si>
  <si>
    <t>Tucker, William B.</t>
  </si>
  <si>
    <t>Organic Chemistry: Structure, Function, and Practice</t>
  </si>
  <si>
    <t>E.30</t>
  </si>
  <si>
    <t>9781394354276</t>
  </si>
  <si>
    <t>Saldivar-Guerra, Enrique; Vivaldo-Lima, Eduardo</t>
  </si>
  <si>
    <t>Polymer Science, Engineering, and Sustainability, Volume 1: Chemistry - Polymer Synthesis and Production</t>
  </si>
  <si>
    <t>E.31</t>
  </si>
  <si>
    <t>9781265703844</t>
  </si>
  <si>
    <t>Smith, Heidi; Smith, Janice</t>
  </si>
  <si>
    <t>Principles of General, Organic, &amp; Biological Chemistry: 2025 Release ISE</t>
  </si>
  <si>
    <t>E.32</t>
  </si>
  <si>
    <t>9781119852667</t>
  </si>
  <si>
    <t>Kuhn, Hans; Waldeck, David H.; Foersterling, Horst-Dieter</t>
  </si>
  <si>
    <t>Principles of Physical Chemistry</t>
  </si>
  <si>
    <t>E.33</t>
  </si>
  <si>
    <t>9781265513320</t>
  </si>
  <si>
    <t>Meislich, Herbert; Nechamkin, Howard; Sharefkin, Jacob; Hademenos, George</t>
  </si>
  <si>
    <t>Schaum's Outline of Organic Chemistry, Sixth Edition</t>
  </si>
  <si>
    <t>E.34</t>
  </si>
  <si>
    <t>9781394254446</t>
  </si>
  <si>
    <t>Byrn, Stephen R.; Zografi, George; Chen, Xiaoming (Sean)</t>
  </si>
  <si>
    <t>Solid-State Materials in Pharmaceutical Chemistry: Properties, Characterization, and Applications</t>
  </si>
  <si>
    <t>E.35</t>
  </si>
  <si>
    <t>9781394179831</t>
  </si>
  <si>
    <t>Fabirkiewicz, Ann M.; Stowell, John C.</t>
  </si>
  <si>
    <t>Understanding Organic Chemistry: Bridging Fundamental and Advanced Courses</t>
  </si>
  <si>
    <t>Industrial Chemistry:</t>
  </si>
  <si>
    <t>Chemical Process Technology; Industrial Organic &amp; Inorganic Chemistry; Petrochemical &amp; Polymer Technology; Pharmaceutical &amp; Fine Chemicals; Industrial Safety &amp; Environmental Management.</t>
  </si>
  <si>
    <t>F.02</t>
  </si>
  <si>
    <t>9780443238574</t>
  </si>
  <si>
    <t>Venkateswarlu, Ch.</t>
  </si>
  <si>
    <t>Advances in Process Control with Real Applications</t>
  </si>
  <si>
    <t>F.05</t>
  </si>
  <si>
    <t>9783110799071</t>
  </si>
  <si>
    <t>Benvenuto, Mark Anthony; Kolopajlo, Lawrence</t>
  </si>
  <si>
    <t>Green Chemical Processes: Developments in Science, Math, Engineering and Technology</t>
  </si>
  <si>
    <t>F.08</t>
  </si>
  <si>
    <t>9783111329918</t>
  </si>
  <si>
    <t>Industrial Organic Chemistry</t>
  </si>
  <si>
    <t>F.07</t>
  </si>
  <si>
    <t>F.16</t>
  </si>
  <si>
    <t>9783111585659</t>
  </si>
  <si>
    <t>Elzagheid, Mohamed</t>
  </si>
  <si>
    <t>Polymers: Chemistry, Morphology, Characterization, Processing, Technology and Recycling</t>
  </si>
  <si>
    <t>F.04</t>
  </si>
  <si>
    <t>9781774670507</t>
  </si>
  <si>
    <t>Wypych, George</t>
  </si>
  <si>
    <t>Chain Mobility and Progress in Medicine, Pharmaceuticals, and Polymer Science and Technology</t>
  </si>
  <si>
    <t>Chem Tec Publishing,Canada</t>
  </si>
  <si>
    <t>F.21</t>
  </si>
  <si>
    <t>9780443238062</t>
  </si>
  <si>
    <t>Vahabi, Henri; Saeb, Mohammad Reza</t>
  </si>
  <si>
    <t>Sustainable Additives in Polymer Technology</t>
  </si>
  <si>
    <t>F.19</t>
  </si>
  <si>
    <t>9781774917831</t>
  </si>
  <si>
    <t>Kulkarni, Shrikaant; Shaikh, Vasi</t>
  </si>
  <si>
    <t>Specialty Polymers and Materials: Advances, Technologies, Applications, and Future Trends</t>
  </si>
  <si>
    <t>F.20</t>
  </si>
  <si>
    <t>9781774917626</t>
  </si>
  <si>
    <t>Tatrishvili, Tamara; Rawat, Neha Kanwar; Talele, Swati Gokul; Haghi, A. K.</t>
  </si>
  <si>
    <t>Sustainability in Polymer Technology and Plastic Engineering: Concepts, Strategies, and Opportunities</t>
  </si>
  <si>
    <t>F.15</t>
  </si>
  <si>
    <t>9781779643650</t>
  </si>
  <si>
    <t>Varghese, Ruby; Abraham, Ann Rose; Kulkarni, Shrikaant; Haghi, A. K.</t>
  </si>
  <si>
    <t>Polymers and Functional Materials for a Cleaner Environment and Human Health: Sustainable Technologies and New Research</t>
  </si>
  <si>
    <t>F.17</t>
  </si>
  <si>
    <t>9780367511920</t>
  </si>
  <si>
    <t>Drobny, Jiri George</t>
  </si>
  <si>
    <t>Radiation Technology for Polymers</t>
  </si>
  <si>
    <t>F.14</t>
  </si>
  <si>
    <t>9781032556055</t>
  </si>
  <si>
    <t>Kudaibergenov, Sarkyt E.</t>
  </si>
  <si>
    <t>Polyampholytes in Advanced Polymer Science and Emerging Technologies</t>
  </si>
  <si>
    <t>F.13</t>
  </si>
  <si>
    <t>9781849464901</t>
  </si>
  <si>
    <t>Buhler, Dirk; Stief, Marco; Haedicke, Maximilian</t>
  </si>
  <si>
    <t>Pharmaceutical, Biological and Chemical Patents: A Handbook</t>
  </si>
  <si>
    <t>Beck/Hart Publishing</t>
  </si>
  <si>
    <t>F.06</t>
  </si>
  <si>
    <t>9781032261058</t>
  </si>
  <si>
    <t>Pabby, Anil K.; Wickramasinghe, S. Ranil; Sastre, Ana-Maria</t>
  </si>
  <si>
    <t>Handbook of Membrane Separations: Chemical, Pharmaceutical, Food, and Biotechnological Applications</t>
  </si>
  <si>
    <t>F.01</t>
  </si>
  <si>
    <t>9780443265006</t>
  </si>
  <si>
    <t>Castro-Munoz, Roberto; Basile, Angelo; Cassano, Alfredo</t>
  </si>
  <si>
    <t>Advanced Technologies in Wastewater Treatment: Food, Pharmaceutical and Chemical Industry</t>
  </si>
  <si>
    <t>F.22</t>
  </si>
  <si>
    <t>9781774914427</t>
  </si>
  <si>
    <t>D. V. N. Pamidimarri, Sudheer; Chauhan, Sushma; Velramar, Balasubramanian</t>
  </si>
  <si>
    <t>Whole-Cell Biocatalysis: Next-Generation Technology for Green Synthesis of Pharmaceutical, Chemicals, and Biofuels</t>
  </si>
  <si>
    <t>F.03</t>
  </si>
  <si>
    <t>9783111096094</t>
  </si>
  <si>
    <t>Bonrath, Werner; Medlock, Jonathan; Muller, Marc-Andre; Schutz, Jan</t>
  </si>
  <si>
    <t>Catalysis for Fine Chemicals</t>
  </si>
  <si>
    <t>F.11</t>
  </si>
  <si>
    <t>9781394314416</t>
  </si>
  <si>
    <t>Barua, Abhishek; Kumari, Kanchan; Saha, Sumit; Jeet, Siddharth; Pradhan, Swastik</t>
  </si>
  <si>
    <t>Institutional and Industrial Safety Engineering Practices</t>
  </si>
  <si>
    <t>F.09</t>
  </si>
  <si>
    <t>9780367690328</t>
  </si>
  <si>
    <t>Panchal, Dilbagh; Ram, Mangey; Chatterjee, Prasenjit; Sachdeva, Anish Kumar</t>
  </si>
  <si>
    <t>Industrial Reliability and Safety Engineering: Applications and Practices</t>
  </si>
  <si>
    <t>F.18</t>
  </si>
  <si>
    <t>9789819740178</t>
  </si>
  <si>
    <t>Kaur, Raj Kamal; Singh, Lalit Kumar; Singh, Pooja; Verma, Ajit K.</t>
  </si>
  <si>
    <t>Security Management for Industrial Safety Critical Applications: A Practical Approach</t>
  </si>
  <si>
    <t>F.12</t>
  </si>
  <si>
    <t>9781119538745</t>
  </si>
  <si>
    <t>Redinger, Charles F.</t>
  </si>
  <si>
    <t>Organizational Risk Management: An Integrated Framework for Environmental, Health, Safety, and Sustainability Professionals, and their C-Suites</t>
  </si>
  <si>
    <t>F.10</t>
  </si>
  <si>
    <t>9783031819650</t>
  </si>
  <si>
    <t>Chibueze Izah, Sylvester; Chidozie Ogwu, Matthew</t>
  </si>
  <si>
    <t>Innovative Approaches in Environmental Health Management: Processes, Technologies, and Strategies for a Sustainable Future</t>
  </si>
  <si>
    <t>Computer Science:</t>
  </si>
  <si>
    <t>Programming; Data Structures &amp; Algorithms; Database Systems; Operating Systems; Computer Networks; Artificial Intelligence; Machine Learning; Computer Architecture.</t>
  </si>
  <si>
    <t>G.01</t>
  </si>
  <si>
    <t>9781774697610</t>
  </si>
  <si>
    <t>Ahmed, Waqas</t>
  </si>
  <si>
    <t>Advanced Database Systems</t>
  </si>
  <si>
    <t>G.02</t>
  </si>
  <si>
    <t>9781398623316</t>
  </si>
  <si>
    <t>Clark, Donald</t>
  </si>
  <si>
    <t>AI and Productivity: Using Artificial Intelligence to Improve Processes and Unlock Potential</t>
  </si>
  <si>
    <t>Kogan Page Ltd</t>
  </si>
  <si>
    <t>G.03</t>
  </si>
  <si>
    <t>9781098164560</t>
  </si>
  <si>
    <t>Taulli, Tom</t>
  </si>
  <si>
    <t>AI-Assisted Programming: Better Planning, Coding, Testing, and Deployment</t>
  </si>
  <si>
    <t>O'Reilly Media</t>
  </si>
  <si>
    <t>G.04</t>
  </si>
  <si>
    <t>9781032461380</t>
  </si>
  <si>
    <t>Roy, Sangita; Subhra Chakraborty, Rajat; Mathew, Jimson; Mazumdar, Arka Prokash; Chakraborty, Sudeshna</t>
  </si>
  <si>
    <t>Artificial Intelligence and Deep Learning for Computer Network: Management and Analysis</t>
  </si>
  <si>
    <t>G.05</t>
  </si>
  <si>
    <t>9781041014850</t>
  </si>
  <si>
    <t>Young, PhD, Richard Gwashy</t>
  </si>
  <si>
    <t>Artificial Intelligence and Machine Learning in Cybersecurity: A Comprehensive Guide to Improving Cybersecurity Protocol</t>
  </si>
  <si>
    <t>Productivity Press</t>
  </si>
  <si>
    <t>G.06</t>
  </si>
  <si>
    <t>9781787910119</t>
  </si>
  <si>
    <t>Urwin, Richard</t>
  </si>
  <si>
    <t>Artificial Intelligence for Developers in easy steps</t>
  </si>
  <si>
    <t>In Easy Steps Limited</t>
  </si>
  <si>
    <t>G.07</t>
  </si>
  <si>
    <t>9798216195061</t>
  </si>
  <si>
    <t>Lund, Brady D.</t>
  </si>
  <si>
    <t>Artificial Intelligence for Libraries</t>
  </si>
  <si>
    <t>Libraries Unlimited Inc</t>
  </si>
  <si>
    <t>G.08</t>
  </si>
  <si>
    <t>9781009636155</t>
  </si>
  <si>
    <t>Nygren, Thomas</t>
  </si>
  <si>
    <t>Artificial Intelligence in Schools: Educational Challenges and Opportunities</t>
  </si>
  <si>
    <t>G.09</t>
  </si>
  <si>
    <t>9781041240952</t>
  </si>
  <si>
    <t>Sambasivarao, K. V.; Roopa Devi Bhima, Anasuya Sesha</t>
  </si>
  <si>
    <t>Artificial Intelligence, Computational Intelligence and Inclusive Technologies</t>
  </si>
  <si>
    <t>G.10</t>
  </si>
  <si>
    <t>9781398837638</t>
  </si>
  <si>
    <t>Artificial Intelligence: From Machine Learning to Super-Intelligence and the Singularity</t>
  </si>
  <si>
    <t>Arcturus</t>
  </si>
  <si>
    <t>G.11</t>
  </si>
  <si>
    <t>9783031910838</t>
  </si>
  <si>
    <t>Akerkar, Rajendra</t>
  </si>
  <si>
    <t>Artificial Intelligence: Transcending Traditional Paradigms</t>
  </si>
  <si>
    <t>G.12</t>
  </si>
  <si>
    <t>9781718503687</t>
  </si>
  <si>
    <t>Davies, Tilman M.</t>
  </si>
  <si>
    <t>Book of R, 2nd Edition, The : A First Course in Programming and Statistics</t>
  </si>
  <si>
    <t>No Starch Press,US</t>
  </si>
  <si>
    <t>G.13</t>
  </si>
  <si>
    <t>9781787910386</t>
  </si>
  <si>
    <t>McGrath, Mike</t>
  </si>
  <si>
    <t>C# Programming in easy steps: Master C# fundamentals!</t>
  </si>
  <si>
    <t>G.14</t>
  </si>
  <si>
    <t>9781787910379</t>
  </si>
  <si>
    <t>C++ Programming in easy steps</t>
  </si>
  <si>
    <t>G.15</t>
  </si>
  <si>
    <t>9798888650356</t>
  </si>
  <si>
    <t>Wengrow, Jay</t>
  </si>
  <si>
    <t>Common-Sense Guide to Data Structures and Algorithms in Python, Volume 1, A : Level Up Your Core Programming Skills</t>
  </si>
  <si>
    <t>Pragmatic Bookshelf</t>
  </si>
  <si>
    <t>G.16</t>
  </si>
  <si>
    <t>9798888651322</t>
  </si>
  <si>
    <t>Common-Sense Guide to Data Structures and Algorithms in Python, Volume 2, A : Level Up Your Core Programming Skills</t>
  </si>
  <si>
    <t>The Pragmatic Programmers</t>
  </si>
  <si>
    <t>G.17</t>
  </si>
  <si>
    <t>9789365898576</t>
  </si>
  <si>
    <t>Srivastava, Suresh Kumar; Srivastava, Deepali</t>
  </si>
  <si>
    <t>Comprehensive Data Structures and Algorithms in C++: Learn fundamentals with 500+ code samples and problems</t>
  </si>
  <si>
    <t>BPB Publications</t>
  </si>
  <si>
    <t>IN</t>
  </si>
  <si>
    <t>G.18</t>
  </si>
  <si>
    <t>9789365891089</t>
  </si>
  <si>
    <t>Srivastava, S. K.</t>
  </si>
  <si>
    <t>Comprehensive Data Structures and Algorithms in Java: Learn fundamentals with 500+ code samples and problems</t>
  </si>
  <si>
    <t>G.19</t>
  </si>
  <si>
    <t>9781718502864</t>
  </si>
  <si>
    <t>Fox, Charles</t>
  </si>
  <si>
    <t>Computer Architecture</t>
  </si>
  <si>
    <t>G.20</t>
  </si>
  <si>
    <t>9780443154065</t>
  </si>
  <si>
    <t>Hennessy, John L.; Patterson, David A.; Kozyrakis, Christos</t>
  </si>
  <si>
    <t>Computer Architecture: A Quantitative Approach</t>
  </si>
  <si>
    <t>Morgan Kaufmann Publishers In</t>
  </si>
  <si>
    <t>G.21</t>
  </si>
  <si>
    <t>9780470482520</t>
  </si>
  <si>
    <t>White, C</t>
  </si>
  <si>
    <t>Computer Networks 1st Edition</t>
  </si>
  <si>
    <t>John Wiley &amp; Sons Ltd</t>
  </si>
  <si>
    <t>G.22</t>
  </si>
  <si>
    <t>9789365893502</t>
  </si>
  <si>
    <t>Dutta, Susanta</t>
  </si>
  <si>
    <t>Computer Storage Fundamentals - 2nd Edition: Storage system, storage networking, and host connectivity</t>
  </si>
  <si>
    <t>G.23</t>
  </si>
  <si>
    <t>9781009123310</t>
  </si>
  <si>
    <t>Zhang, Xiaodong; Lee, Rubao</t>
  </si>
  <si>
    <t>Data Management: Interactions with Computer Architecture and Systems</t>
  </si>
  <si>
    <t>G.24</t>
  </si>
  <si>
    <t>9781398619593</t>
  </si>
  <si>
    <t>Marr, Bernard</t>
  </si>
  <si>
    <t>Data Strategy: How to Use Data and Artificial Intelligence to Transform Your Business</t>
  </si>
  <si>
    <t>G.25</t>
  </si>
  <si>
    <t>9781718502628</t>
  </si>
  <si>
    <t>Kereki, Federico</t>
  </si>
  <si>
    <t>Data Structures and Algorithms in JavaScript</t>
  </si>
  <si>
    <t>G.26</t>
  </si>
  <si>
    <t>9798868808012</t>
  </si>
  <si>
    <t>Mahdi, Mahmmoud</t>
  </si>
  <si>
    <t>Data Structures in Depth Using C++: A Comprehensive Guide to Data Structure Implementation and Optimization in C++</t>
  </si>
  <si>
    <t>APress</t>
  </si>
  <si>
    <t>G.27</t>
  </si>
  <si>
    <t>9781032183466</t>
  </si>
  <si>
    <t>Patni, Jagdish Chandra; Sharma, Hitesh Kumar; Tomar, Ravi; Katal, Avita</t>
  </si>
  <si>
    <t>Database Management System: An Evolutionary Approach</t>
  </si>
  <si>
    <t>G.28</t>
  </si>
  <si>
    <t>9780072968255</t>
  </si>
  <si>
    <t>Ramakrishnan, Raghu; Gehrke, Johannes</t>
  </si>
  <si>
    <t>Database Management Systems</t>
  </si>
  <si>
    <t>McGraw Hill Higher Education</t>
  </si>
  <si>
    <t>2021</t>
  </si>
  <si>
    <t>G.29</t>
  </si>
  <si>
    <t>9781718504127</t>
  </si>
  <si>
    <t>Seacord, Robert C.</t>
  </si>
  <si>
    <t>Effective C, 2nd Edition: An Introduction to Professional C Programming</t>
  </si>
  <si>
    <t>G.30</t>
  </si>
  <si>
    <t>9781718504103</t>
  </si>
  <si>
    <t>Haverbeke, Marijn</t>
  </si>
  <si>
    <t>Eloquent JavaScript, 4th Edition: A Modern Introduction to Programming</t>
  </si>
  <si>
    <t>G.31</t>
  </si>
  <si>
    <t>9781032727196</t>
  </si>
  <si>
    <t>Comer, Douglas</t>
  </si>
  <si>
    <t>Essentials of Computer Architecture</t>
  </si>
  <si>
    <t>G.32</t>
  </si>
  <si>
    <t>9781787910355</t>
  </si>
  <si>
    <t>Fortran Programming in easy steps</t>
  </si>
  <si>
    <t>G.33</t>
  </si>
  <si>
    <t>9780443159428</t>
  </si>
  <si>
    <t>Ying, Mingsheng</t>
  </si>
  <si>
    <t>Foundations of Quantum Programming</t>
  </si>
  <si>
    <t>G.34</t>
  </si>
  <si>
    <t>9781119907466</t>
  </si>
  <si>
    <t>Gillenson, Mark L.</t>
  </si>
  <si>
    <t>Fundamentals of Database Management Systems</t>
  </si>
  <si>
    <t>G.35</t>
  </si>
  <si>
    <t>9781617299469</t>
  </si>
  <si>
    <t>Bratanic, Tomaz</t>
  </si>
  <si>
    <t>Graph Algorithms for Data Science</t>
  </si>
  <si>
    <t>Manning Publications</t>
  </si>
  <si>
    <t>G.36</t>
  </si>
  <si>
    <t>9781633436992</t>
  </si>
  <si>
    <t>Rocca, Marcello</t>
  </si>
  <si>
    <t>Grokking Data Structures</t>
  </si>
  <si>
    <t>G.37</t>
  </si>
  <si>
    <t>9783031475481</t>
  </si>
  <si>
    <t>Kizza, Joseph Migga</t>
  </si>
  <si>
    <t>Guide to Computer Network Security</t>
  </si>
  <si>
    <t>G.38</t>
  </si>
  <si>
    <t>9783032074522</t>
  </si>
  <si>
    <t>Laaksonen, Antti</t>
  </si>
  <si>
    <t>Guide to Using Generative AI in Programming</t>
  </si>
  <si>
    <t>G.39</t>
  </si>
  <si>
    <t>9781098147945</t>
  </si>
  <si>
    <t>Freeman, Eric; Robson, Elisabeth</t>
  </si>
  <si>
    <t>Head First JavaScript Programming: A Learner's Guide to Modern JavaScript</t>
  </si>
  <si>
    <t>G.40</t>
  </si>
  <si>
    <t>9781098165963</t>
  </si>
  <si>
    <t>Ozsvald, Ian</t>
  </si>
  <si>
    <t>High Performance Python: Practical Performant Programming for Humans</t>
  </si>
  <si>
    <t>G.41</t>
  </si>
  <si>
    <t>9781394344710</t>
  </si>
  <si>
    <t>Rainer, R. Kelly</t>
  </si>
  <si>
    <t>Introduction to Artificial Intelligence and Machine Learning, with eBook Access Code</t>
  </si>
  <si>
    <t>G.43</t>
  </si>
  <si>
    <t>9781633435995</t>
  </si>
  <si>
    <t>Porter, Leo; Zingaro, Daniel</t>
  </si>
  <si>
    <t>Learn AI-Assisted Python Programming, Second Edition</t>
  </si>
  <si>
    <t>G.44</t>
  </si>
  <si>
    <t>9781098139292</t>
  </si>
  <si>
    <t>Bodner, Jon</t>
  </si>
  <si>
    <t>Learning Go: An Idiomatic Approach to Real-World Go Programming</t>
  </si>
  <si>
    <t>G.45</t>
  </si>
  <si>
    <t>9781098171308</t>
  </si>
  <si>
    <t>Lutz, Mark</t>
  </si>
  <si>
    <t>Learning Python: Powerful Object-Oriented Programming</t>
  </si>
  <si>
    <t>G.46</t>
  </si>
  <si>
    <t>9781915722881</t>
  </si>
  <si>
    <t>Bernstein, Phil</t>
  </si>
  <si>
    <t>Machine Learning: Architecture in the age of Artificial Intelligence</t>
  </si>
  <si>
    <t>RIBA Publishing</t>
  </si>
  <si>
    <t>G.47</t>
  </si>
  <si>
    <t>9789365899603</t>
  </si>
  <si>
    <t>Bhandari, Rahul</t>
  </si>
  <si>
    <t>Mastering Algorithms: A systematic approach to data structures and problem-solving techniques</t>
  </si>
  <si>
    <t>G.48</t>
  </si>
  <si>
    <t>9781718503588</t>
  </si>
  <si>
    <t>Kneusel, Ronald T.</t>
  </si>
  <si>
    <t>Math for Programming</t>
  </si>
  <si>
    <t>G.49</t>
  </si>
  <si>
    <t>9781009522458</t>
  </si>
  <si>
    <t>Shakarian, Paulo; Wei, Hua</t>
  </si>
  <si>
    <t>Metacognitive Artificial Intelligence</t>
  </si>
  <si>
    <t>G.50</t>
  </si>
  <si>
    <t>9789819521845</t>
  </si>
  <si>
    <t>Hao, Jiasheng; Xiao, Yindong; Zhou, Wenjian; Wang, Peicheng</t>
  </si>
  <si>
    <t>Operating System Basics and Practice: A Hands-on Approach with openEuler</t>
  </si>
  <si>
    <t>G.51</t>
  </si>
  <si>
    <t>9781032980997</t>
  </si>
  <si>
    <t>Operating System Design: The Xinu Approach</t>
  </si>
  <si>
    <t>G.52</t>
  </si>
  <si>
    <t>9781032467467</t>
  </si>
  <si>
    <t>Chakraborty, Pranabananda</t>
  </si>
  <si>
    <t>Operating Systems: Evolutionary Concepts and Modern Design Principles</t>
  </si>
  <si>
    <t>G.53</t>
  </si>
  <si>
    <t>G.54</t>
  </si>
  <si>
    <t>9781787910485</t>
  </si>
  <si>
    <t>Perl Programming in easy steps</t>
  </si>
  <si>
    <t>G.55</t>
  </si>
  <si>
    <t>9781098158361</t>
  </si>
  <si>
    <t>Griffiths, Ian</t>
  </si>
  <si>
    <t>Programming C# 12: Build Cloud, Web, and Desktop Applications</t>
  </si>
  <si>
    <t>G.56</t>
  </si>
  <si>
    <t>9781032110844</t>
  </si>
  <si>
    <t>Toal, Ray; Strieker, Sage; Berardini, Marco</t>
  </si>
  <si>
    <t>Programming Language Explorations</t>
  </si>
  <si>
    <t>G.57</t>
  </si>
  <si>
    <t>9780323999663</t>
  </si>
  <si>
    <t>Scott, Michael; Aldrich, Jonathan</t>
  </si>
  <si>
    <t>Programming Language Pragmatics</t>
  </si>
  <si>
    <t>Morgan Kaufmann</t>
  </si>
  <si>
    <t>G.58</t>
  </si>
  <si>
    <t>9781680509823</t>
  </si>
  <si>
    <t>Rappin, Noel</t>
  </si>
  <si>
    <t>Programming Ruby 3.2: The Pragmatic Programmers' Guide</t>
  </si>
  <si>
    <t>G.59</t>
  </si>
  <si>
    <t>9780137889655</t>
  </si>
  <si>
    <t>Marshall, Donis</t>
  </si>
  <si>
    <t>Programming with Rust</t>
  </si>
  <si>
    <t>Addison Wesley</t>
  </si>
  <si>
    <t>G.60</t>
  </si>
  <si>
    <t>9780138308681</t>
  </si>
  <si>
    <t>Stroustrup, Bjarne</t>
  </si>
  <si>
    <t>Programming: Principles and Practice Using C++</t>
  </si>
  <si>
    <t>G.61</t>
  </si>
  <si>
    <t>9781009561297</t>
  </si>
  <si>
    <t>Miller, Dale</t>
  </si>
  <si>
    <t>Proof Theory and Logic Programming: Computation as Proof Search</t>
  </si>
  <si>
    <t>G.62</t>
  </si>
  <si>
    <t>9781284283211</t>
  </si>
  <si>
    <t>Anderson, Julie; Anderson, Jon</t>
  </si>
  <si>
    <t>Python Programming in Context</t>
  </si>
  <si>
    <t>Jones and Bartlett Publishers, Inc</t>
  </si>
  <si>
    <t>G.63</t>
  </si>
  <si>
    <t>9781633436909</t>
  </si>
  <si>
    <t>Mykhailova, Mariia</t>
  </si>
  <si>
    <t>Quantum Programming in Depth</t>
  </si>
  <si>
    <t>G.64</t>
  </si>
  <si>
    <t>9781041038108</t>
  </si>
  <si>
    <t>Matuszek, David</t>
  </si>
  <si>
    <t>Quick Data Structures</t>
  </si>
  <si>
    <t>G.65</t>
  </si>
  <si>
    <t>9781032976518</t>
  </si>
  <si>
    <t>Bertolotti, Ivan Cibrario; Manduchi, Gabriele</t>
  </si>
  <si>
    <t>Real-Time Embedded Systems with Open-Source Operating Systems</t>
  </si>
  <si>
    <t>G.66</t>
  </si>
  <si>
    <t>9781787910348</t>
  </si>
  <si>
    <t>Rust Programming in easy steps</t>
  </si>
  <si>
    <t>G.67</t>
  </si>
  <si>
    <t>9781718503564</t>
  </si>
  <si>
    <t>Weiss, Stewart</t>
  </si>
  <si>
    <t>System Programming in Linux: A Hands-On Introduction</t>
  </si>
  <si>
    <t>G.68</t>
  </si>
  <si>
    <t>9781718500426</t>
  </si>
  <si>
    <t>Sandler, Nora</t>
  </si>
  <si>
    <t>Writing a C Compiler: Build a Real Programming Language from Scratch</t>
  </si>
  <si>
    <t>Mathematics:</t>
  </si>
  <si>
    <t>Pure &amp; Applied Mathematics; Statistics &amp; Probability; Numerical Analysis; Mathematical Modelling; Operations Research; Linear Algebra; Differential Equations.</t>
  </si>
  <si>
    <t>H.01</t>
  </si>
  <si>
    <t>9781009589840</t>
  </si>
  <si>
    <t>Yang, Yisong</t>
  </si>
  <si>
    <t>Advanced Linear Algebra: A Concise Text with Contemporary Applications</t>
  </si>
  <si>
    <t>H.02</t>
  </si>
  <si>
    <t>9781032481104</t>
  </si>
  <si>
    <t>Mukherjee, Gunjan; Basu Mallik, Biswadip; Kar, Rahul; Chaudhary, Aryan</t>
  </si>
  <si>
    <t>Advances on Mathematical Modeling and Optimization with Its Applications</t>
  </si>
  <si>
    <t>H.03</t>
  </si>
  <si>
    <t>9781032817187</t>
  </si>
  <si>
    <t>Fernandez, Ariel</t>
  </si>
  <si>
    <t>Artificial Intelligence Models for the Dark Universe: Forays in Mathematical Cosmology</t>
  </si>
  <si>
    <t>H.04</t>
  </si>
  <si>
    <t>9783031834561</t>
  </si>
  <si>
    <t>Nomura, Seiichi</t>
  </si>
  <si>
    <t>C Programming and Numerical Analysis: An Introduction</t>
  </si>
  <si>
    <t>H.05</t>
  </si>
  <si>
    <t>9781032709185</t>
  </si>
  <si>
    <t>Misra, Sanjay; Jain, Amit; Kaushik, Manju; Banerjee, Chitresh; Mutha, Rakhi</t>
  </si>
  <si>
    <t>Deep Learning Applications in Operations Research</t>
  </si>
  <si>
    <t>Routledge</t>
  </si>
  <si>
    <t>H.06</t>
  </si>
  <si>
    <t>9781032559971</t>
  </si>
  <si>
    <t>Basu Mallik, Biswadip; Mukherjee, Gunjan; Kar, Rahul; Chaudhary, Aryan</t>
  </si>
  <si>
    <t>Deep Learning Concepts in Operations Research</t>
  </si>
  <si>
    <t>Auerbach</t>
  </si>
  <si>
    <t>H.07</t>
  </si>
  <si>
    <t>9781041076896</t>
  </si>
  <si>
    <t>Barks, Robert Arthur</t>
  </si>
  <si>
    <t>Descriptive Statistics and Probability Theory</t>
  </si>
  <si>
    <t>H.08</t>
  </si>
  <si>
    <t>9783031995422</t>
  </si>
  <si>
    <t>Matthews, Paul C.</t>
  </si>
  <si>
    <t>Differential Equations, Bifurcations and Chaos</t>
  </si>
  <si>
    <t>H.09</t>
  </si>
  <si>
    <t>9781394378722</t>
  </si>
  <si>
    <t>Anton, Howard; Rorres, Chris; Kaul, Anton</t>
  </si>
  <si>
    <t>Elementary Linear Algebra, Application Version, International Adaptation, Revised Edition</t>
  </si>
  <si>
    <t>H.10</t>
  </si>
  <si>
    <t>9781041048336</t>
  </si>
  <si>
    <t>Smith, Gary</t>
  </si>
  <si>
    <t>Exercises and Solutions in Probability and Statistics</t>
  </si>
  <si>
    <t>H.11</t>
  </si>
  <si>
    <t>9781041048343</t>
  </si>
  <si>
    <t>H.12</t>
  </si>
  <si>
    <t>9781032277165</t>
  </si>
  <si>
    <t>Duggan, Jim</t>
  </si>
  <si>
    <t>Exploring Operations Research with R</t>
  </si>
  <si>
    <t>H.13</t>
  </si>
  <si>
    <t>9781470474621</t>
  </si>
  <si>
    <t>Herichi, Hafedh; Lancia, Maria Rosaria; Landry, Therese Basa; Rozanova-Pierrat, Anna; Winter, Steffen</t>
  </si>
  <si>
    <t>Fractal Geometry in Pure and Applied Mathematics</t>
  </si>
  <si>
    <t>American Mathematical Society</t>
  </si>
  <si>
    <t>H.14</t>
  </si>
  <si>
    <t>9780262049818</t>
  </si>
  <si>
    <t>Alpaydin, Ethem</t>
  </si>
  <si>
    <t>Fundamentals of Probability and Statistics for Machine Learning</t>
  </si>
  <si>
    <t>H.15</t>
  </si>
  <si>
    <t>9781041144175</t>
  </si>
  <si>
    <t>Plaut, Conrad</t>
  </si>
  <si>
    <t>Interactive Linear Algebra</t>
  </si>
  <si>
    <t>H.16</t>
  </si>
  <si>
    <t>9781266933226</t>
  </si>
  <si>
    <t>Hillier, Frederick; Lieberman, Gerald</t>
  </si>
  <si>
    <t>Introduction to Operations Research: 2024 Release ISE</t>
  </si>
  <si>
    <t>H.17</t>
  </si>
  <si>
    <t>9783031932595</t>
  </si>
  <si>
    <t>Liesen, Joerg; Mehrmann, Volker</t>
  </si>
  <si>
    <t>Linear Algebra</t>
  </si>
  <si>
    <t>H.18</t>
  </si>
  <si>
    <t>9781032659169</t>
  </si>
  <si>
    <t>Shea, John M.</t>
  </si>
  <si>
    <t>Linear Algebra for Data Science with Python</t>
  </si>
  <si>
    <t>H.19</t>
  </si>
  <si>
    <t>9781009418140</t>
  </si>
  <si>
    <t>Fessler, Jeffrey A.; Nadakuditi, Raj Rao</t>
  </si>
  <si>
    <t>Linear Algebra for Data Science, Machine Learning, and Signal Processing</t>
  </si>
  <si>
    <t>H.20</t>
  </si>
  <si>
    <t>9798214405896</t>
  </si>
  <si>
    <t>Poole, David</t>
  </si>
  <si>
    <t>Linear Algebra: A Modern Introduction, Cengage International Edition</t>
  </si>
  <si>
    <t>H.21</t>
  </si>
  <si>
    <t>9781032635187</t>
  </si>
  <si>
    <t>Braga da Costa Campos, Luis Manuel; Raio Vilela, Luis Antonio</t>
  </si>
  <si>
    <t>Linear Partial Differential and Difference Equations and Simultaneous Systems with Constant or Homogeneous Coefficients</t>
  </si>
  <si>
    <t>H.22</t>
  </si>
  <si>
    <t>9783527414147</t>
  </si>
  <si>
    <t>Velten, Kai; Schmidt, Dominik M.; Kahlen, Katrin</t>
  </si>
  <si>
    <t>Mathematical Modeling and Simulation: Introduction for Scientists and Engineers</t>
  </si>
  <si>
    <t>Blackwell Verlag GmbH</t>
  </si>
  <si>
    <t>H.23</t>
  </si>
  <si>
    <t>9781041210078</t>
  </si>
  <si>
    <t>Krogstad, Harald; Yiha Dawed, Mohammed; Tchepmo Djomegni, Patrick; Arino, Julien</t>
  </si>
  <si>
    <t>Mathematical Modelling Techniques</t>
  </si>
  <si>
    <t>H.24</t>
  </si>
  <si>
    <t>9780262552523</t>
  </si>
  <si>
    <t>Marcolli, Matilde; Chomsky, Noam</t>
  </si>
  <si>
    <t>Mathematical Structure of Syntactic Merge: An Algebraic Model for Generative Linguistics</t>
  </si>
  <si>
    <t>H.25</t>
  </si>
  <si>
    <t>9781108459433</t>
  </si>
  <si>
    <t>Anthony, Martin; Biggs, Norman</t>
  </si>
  <si>
    <t>Mathematics for Economics and Finance: Methods and Modelling</t>
  </si>
  <si>
    <t>H.26</t>
  </si>
  <si>
    <t>9781032735924</t>
  </si>
  <si>
    <t>Fox, William P; Burks, Robert E.</t>
  </si>
  <si>
    <t>Modeling Operations Research and Business Analytics</t>
  </si>
  <si>
    <t>H.27</t>
  </si>
  <si>
    <t>9780198943136</t>
  </si>
  <si>
    <t>Upton, Graham J. G.</t>
  </si>
  <si>
    <t>Modern Introduction to Probability and Statistics, A : Understanding Statistical Principles in the Age of the Computer</t>
  </si>
  <si>
    <t>H.28</t>
  </si>
  <si>
    <t>9781009651721</t>
  </si>
  <si>
    <t>Barbour, A. D.; Reinert, Gesine</t>
  </si>
  <si>
    <t>Networks: Probability and Statistics</t>
  </si>
  <si>
    <t>H.29</t>
  </si>
  <si>
    <t>H.30</t>
  </si>
  <si>
    <t>9781009610025</t>
  </si>
  <si>
    <t>Nandakumaran, A. K.; Datti, P.S.</t>
  </si>
  <si>
    <t>Notes, Problems and Solutions in Differential Equations</t>
  </si>
  <si>
    <t>H.31</t>
  </si>
  <si>
    <t>9781032993003</t>
  </si>
  <si>
    <t>Ayyub, Bilal M.; McCuen, Richard H.</t>
  </si>
  <si>
    <t>Numerical Analysis for Engineers: Methods and Applications</t>
  </si>
  <si>
    <t>H.32</t>
  </si>
  <si>
    <t>9781032703688</t>
  </si>
  <si>
    <t>Fox, William P.; West, Richard D.</t>
  </si>
  <si>
    <t>Numerical Methods and Analysis with Mathematical Modelling</t>
  </si>
  <si>
    <t>H.33</t>
  </si>
  <si>
    <t>9781394385034</t>
  </si>
  <si>
    <t>De, Dipankar</t>
  </si>
  <si>
    <t>Ordinary Differential Equations and Special Functions</t>
  </si>
  <si>
    <t>H.34</t>
  </si>
  <si>
    <t>9781009338394</t>
  </si>
  <si>
    <t>Sen, Amrik</t>
  </si>
  <si>
    <t>Play of Chance and Purpose: An Invitation to Probability, Statistics, and Stochasticity Using Simulations and Projects</t>
  </si>
  <si>
    <t>H.35</t>
  </si>
  <si>
    <t>9780262553360</t>
  </si>
  <si>
    <t>Abrevaya, Jason</t>
  </si>
  <si>
    <t>Probability and Statistics for Economics and Business: An Introduction Using R</t>
  </si>
  <si>
    <t>H.36</t>
  </si>
  <si>
    <t>9783031532849</t>
  </si>
  <si>
    <t>Aggarwal, Charu C.</t>
  </si>
  <si>
    <t>Probability and Statistics for Machine Learning: A Textbook</t>
  </si>
  <si>
    <t>H.37</t>
  </si>
  <si>
    <t>9781032948539</t>
  </si>
  <si>
    <t>Jones, Alan</t>
  </si>
  <si>
    <t>Probability, Statistics and Other Frightening Stuff</t>
  </si>
  <si>
    <t>H.38</t>
  </si>
  <si>
    <t>9781394179985</t>
  </si>
  <si>
    <t>Glasgow, Larry A.</t>
  </si>
  <si>
    <t>Problem Solving in Engineering: Analytical Mathematics and Numerical Analysis</t>
  </si>
  <si>
    <t>H.39</t>
  </si>
  <si>
    <t>9781032750972</t>
  </si>
  <si>
    <t>Chichurin, Aleksander V.; Ovsiyuk, Elena M.; Red'kov, Viktor M.</t>
  </si>
  <si>
    <t>Problems in Quantum Mechanics and Field Theory with Mathematical Modelling</t>
  </si>
  <si>
    <t>H.40</t>
  </si>
  <si>
    <t>9781319535797</t>
  </si>
  <si>
    <t>Starnes, Daren; Josh, Tabor; Luke, Wilcox</t>
  </si>
  <si>
    <t>Statistics and Probability with Applications (High School)</t>
  </si>
  <si>
    <t>Cyber Security:</t>
  </si>
  <si>
    <t>Information &amp; Network Security; Cryptography; Ethical Hacking; Digital Forensics; Cyber Law &amp; Compliance; Cloud &amp; Application Security.</t>
  </si>
  <si>
    <t>I.01</t>
  </si>
  <si>
    <t>9781394292462</t>
  </si>
  <si>
    <t>DaSilva, Luiz A.</t>
  </si>
  <si>
    <t>6G Security: New Frontiers in Mobile Network Technologies and Verticals</t>
  </si>
  <si>
    <t>Wiley-IEEE Press</t>
  </si>
  <si>
    <t>I.02</t>
  </si>
  <si>
    <t>9781032844688</t>
  </si>
  <si>
    <t>Kumar Chaudhary, Naveen; Patel, Archana; Mishra, Abinash; Kumawat, Chothmal</t>
  </si>
  <si>
    <t>Artificial Intelligence and Digital Forensics: Advancements, Applications, Challenges, and Solutions</t>
  </si>
  <si>
    <t>I.03</t>
  </si>
  <si>
    <t>9781394374328</t>
  </si>
  <si>
    <t>Arun, Jai Singh; Harishankar, Ray; Rjaibi, Walid</t>
  </si>
  <si>
    <t>Becoming Quantum Safe: Protect Your Business and Mitigate Risks with Post-Quantum Cryptography and Crypto-Agility</t>
  </si>
  <si>
    <t>I.04</t>
  </si>
  <si>
    <t>9781032517537</t>
  </si>
  <si>
    <t>Kumar, Randhir; Kumar, Prabhat; C C, Sobin</t>
  </si>
  <si>
    <t>Blockchain and Digital Twin Enabled IoT Networks: Privacy and Security Perspectives</t>
  </si>
  <si>
    <t>I.05</t>
  </si>
  <si>
    <t>9781098174774</t>
  </si>
  <si>
    <t>Walker, Matt</t>
  </si>
  <si>
    <t>Certified Ethical Hacker (Ceh) Study Guide: In-Depth Guidance and Practice</t>
  </si>
  <si>
    <t>I.06</t>
  </si>
  <si>
    <t>9798341622999</t>
  </si>
  <si>
    <t>Vibert, Nico; Nikolic, Filip; Laverack, James</t>
  </si>
  <si>
    <t>Cilium: Up &amp; Running: Cloud Native Networking, Security, and Observability</t>
  </si>
  <si>
    <t>I.07</t>
  </si>
  <si>
    <t>9789365894691</t>
  </si>
  <si>
    <t>Rouskov, Y R</t>
  </si>
  <si>
    <t>Cloud Application Security Essentials with Azure: Azure application security, confidential computing, app identity, authentication, and authorization</t>
  </si>
  <si>
    <t>I.08</t>
  </si>
  <si>
    <t>9781098141707</t>
  </si>
  <si>
    <t>Miles, Russ; Giguere, Stephen; Smith, Taylor</t>
  </si>
  <si>
    <t>Cloud Native Application Protection Platforms: A Guide to CNAPPs and the Foundations of Comprehensive Cloud Security</t>
  </si>
  <si>
    <t>I.09</t>
  </si>
  <si>
    <t>9798214000633</t>
  </si>
  <si>
    <t>Ciampa, Mark</t>
  </si>
  <si>
    <t>CompTIA Security+ Guide to Network Security Fundamentals, 8th Edition</t>
  </si>
  <si>
    <t>Course Technology Inc</t>
  </si>
  <si>
    <t>I.10</t>
  </si>
  <si>
    <t>9780262549028</t>
  </si>
  <si>
    <t>Louridas, Panos</t>
  </si>
  <si>
    <t>Cryptography</t>
  </si>
  <si>
    <t>I.11</t>
  </si>
  <si>
    <t>9788770042567</t>
  </si>
  <si>
    <t>Sampaio de Alencar, Marcelo</t>
  </si>
  <si>
    <t>Cryptography and Network Security</t>
  </si>
  <si>
    <t>I.12</t>
  </si>
  <si>
    <t>I.13</t>
  </si>
  <si>
    <t>9780192882233</t>
  </si>
  <si>
    <t>Murphy, Sean; Player, Rachel</t>
  </si>
  <si>
    <t>Cryptography: A Very Short Introduction</t>
  </si>
  <si>
    <t>I.14</t>
  </si>
  <si>
    <t>9781032737416</t>
  </si>
  <si>
    <t>Grabowski, Mark; Robinson, Eric P.</t>
  </si>
  <si>
    <t>Cyber Law and Ethics: Regulation of the Connected World</t>
  </si>
  <si>
    <t>I.15</t>
  </si>
  <si>
    <t>9781526528100</t>
  </si>
  <si>
    <t>MBE, Helen Wong</t>
  </si>
  <si>
    <t>Cyber Security: Law and Guidance</t>
  </si>
  <si>
    <t>Bloomsbury Professional</t>
  </si>
  <si>
    <t>I.16</t>
  </si>
  <si>
    <t>9789365898712</t>
  </si>
  <si>
    <t>Khanna, Deepanshu</t>
  </si>
  <si>
    <t>Digital Forensics and Incident Response: A practical guide to using Kali Linux for cyber investigations</t>
  </si>
  <si>
    <t>I.17</t>
  </si>
  <si>
    <t>9781633437944</t>
  </si>
  <si>
    <t>Rosing, Michael</t>
  </si>
  <si>
    <t>Elliptic Curve Cryptography for Developers</t>
  </si>
  <si>
    <t>I.18</t>
  </si>
  <si>
    <t>9789355517722</t>
  </si>
  <si>
    <t>Sharma, Manish</t>
  </si>
  <si>
    <t>Ethical Hacking and Network Analysis with Wireshark: Exploration of network packets for detecting exploits and malware</t>
  </si>
  <si>
    <t>I.19</t>
  </si>
  <si>
    <t>9780198903284</t>
  </si>
  <si>
    <t>Martin, Prof Keith M.</t>
  </si>
  <si>
    <t>Everyday Cryptography: Fundamental Principles and Applications</t>
  </si>
  <si>
    <t>I.20</t>
  </si>
  <si>
    <t>9781538189429</t>
  </si>
  <si>
    <t>Tsado, Lucy; Osgood, Robert</t>
  </si>
  <si>
    <t>Exploring Careers in Cybersecurity and Digital Forensics</t>
  </si>
  <si>
    <t>Rowman &amp; Littlefield</t>
  </si>
  <si>
    <t>I.21</t>
  </si>
  <si>
    <t>9781284314977</t>
  </si>
  <si>
    <t>Kim, David; Solomon, Michael G.</t>
  </si>
  <si>
    <t>Fundamentals of Information Systems Security</t>
  </si>
  <si>
    <t>I.22</t>
  </si>
  <si>
    <t>9781032744865</t>
  </si>
  <si>
    <t>Das, Ravindra</t>
  </si>
  <si>
    <t>Generative AI and Digital Forensics</t>
  </si>
  <si>
    <t>I.23</t>
  </si>
  <si>
    <t>I.24</t>
  </si>
  <si>
    <t>9781394269167</t>
  </si>
  <si>
    <t>Noe, Len</t>
  </si>
  <si>
    <t>Human Hacked: My Life and Lessons as the World's First Augmented Ethical Hacker</t>
  </si>
  <si>
    <t>I.25</t>
  </si>
  <si>
    <t>9780443137372</t>
  </si>
  <si>
    <t>Knapp, Eric D.</t>
  </si>
  <si>
    <t>Industrial Network Security: Securing Critical Infrastructure Networks for Smart Grid, SCADA, and Other Industrial Control Systems</t>
  </si>
  <si>
    <t>I.26</t>
  </si>
  <si>
    <t>9781394353316</t>
  </si>
  <si>
    <t>Chapple, Mike; Shelley, Joe; Stewart, James Michael</t>
  </si>
  <si>
    <t>Information Security and Privacy Quick Reference: The Essential Handbook for Every CISO, CSO, and Chief Privacy Officer</t>
  </si>
  <si>
    <t>I.27</t>
  </si>
  <si>
    <t>9781780176932</t>
  </si>
  <si>
    <t>Green, Jeremy; Taylor, Andy; Alexander, David; Finch, Amanda; Sutton, David</t>
  </si>
  <si>
    <t>Information Security Management Principles</t>
  </si>
  <si>
    <t>BCS, The Chartered Institute for IT</t>
  </si>
  <si>
    <t>I.28</t>
  </si>
  <si>
    <t>9781032206158</t>
  </si>
  <si>
    <t>Wingreen, Stephen C.; Samandari, Amelia</t>
  </si>
  <si>
    <t>Information Technology Security and Risk Management: Inductive Cases for Information Security</t>
  </si>
  <si>
    <t>I.29</t>
  </si>
  <si>
    <t>9781394254699</t>
  </si>
  <si>
    <t>Chapple, Mike; Stewart, James Michael; Gibson, Darril</t>
  </si>
  <si>
    <t>ISC2 CISSP Certified Information Systems Security Professional Official Study Guide</t>
  </si>
  <si>
    <t>Sybex Inc.,U.S.</t>
  </si>
  <si>
    <t>I.30</t>
  </si>
  <si>
    <t>9789365898859</t>
  </si>
  <si>
    <t>Kehoe, Michael</t>
  </si>
  <si>
    <t>Learning eBPF: High performance observability, networking, and security programming on Linux</t>
  </si>
  <si>
    <t>I.31</t>
  </si>
  <si>
    <t>9789365899597</t>
  </si>
  <si>
    <t>Yogananth, T. V.; Balachandar, A.</t>
  </si>
  <si>
    <t>Learning Go with Networking: Automating network programming, operations, and security</t>
  </si>
  <si>
    <t>I.32</t>
  </si>
  <si>
    <t>9781098154134</t>
  </si>
  <si>
    <t>Messier, Ric</t>
  </si>
  <si>
    <t>Learning Kali Linux: Security Testing, Penetration Testing &amp; Ethical Hacking</t>
  </si>
  <si>
    <t>I.33</t>
  </si>
  <si>
    <t>9781718503540</t>
  </si>
  <si>
    <t>OccupyTheWeb</t>
  </si>
  <si>
    <t>Linux Basics for Hackers, 2nd Edition: Getting Started with Networking, Scripting, and Security in Kali</t>
  </si>
  <si>
    <t>I.34</t>
  </si>
  <si>
    <t>9781032863641</t>
  </si>
  <si>
    <t>Upadhyaya, Prashant A</t>
  </si>
  <si>
    <t>ManusCrypt: Designed for Mankind - Anthropocentric Information Security</t>
  </si>
  <si>
    <t>I.35</t>
  </si>
  <si>
    <t>9781493225651</t>
  </si>
  <si>
    <t>Dholakia, Sandip</t>
  </si>
  <si>
    <t>Modern Cryptography</t>
  </si>
  <si>
    <t>Rheinwerk Computing</t>
  </si>
  <si>
    <t>I.36</t>
  </si>
  <si>
    <t>9781284302509</t>
  </si>
  <si>
    <t>Kinsey, Denise</t>
  </si>
  <si>
    <t>Network Security, Firewalls, and VPNs</t>
  </si>
  <si>
    <t>I.37</t>
  </si>
  <si>
    <t>9781394256099</t>
  </si>
  <si>
    <t>Jakobsen, Adam Tilmar</t>
  </si>
  <si>
    <t>Practical Cyber Intelligence: A Hands-on Guide to Digital Forensics</t>
  </si>
  <si>
    <t>I.38</t>
  </si>
  <si>
    <t>9781041166696</t>
  </si>
  <si>
    <t>Powell, Walt</t>
  </si>
  <si>
    <t>Quantum Ready: The Enterprise Guide to Post-Quantum Cryptographic Readiness</t>
  </si>
  <si>
    <t>I.39</t>
  </si>
  <si>
    <t>9781032804491</t>
  </si>
  <si>
    <t xml:space="preserve">Reference Manual for Data Privacy Laws and Cyber Frameworks, A </t>
  </si>
  <si>
    <t>I.40</t>
  </si>
  <si>
    <t>9781718503847</t>
  </si>
  <si>
    <t>Aumasson, Jean-Philippe</t>
  </si>
  <si>
    <t>Serious Cryptography, 2nd Edition: A Practical Introduction to Modern Encryption</t>
  </si>
  <si>
    <t>I.41</t>
  </si>
  <si>
    <t>9781032676975</t>
  </si>
  <si>
    <t>Reddy, V. Dinesh; Hussain, Md Muzakkir; Singh, Priyanka</t>
  </si>
  <si>
    <t>Swarm Intelligence: Theory and Applications in Fog Computing, Beyond 5G Networks, and Information Security</t>
  </si>
  <si>
    <t>I.42</t>
  </si>
  <si>
    <t>9781032997438</t>
  </si>
  <si>
    <t>Baloch, Rafay</t>
  </si>
  <si>
    <t>Web Hacking Arsenal and Ethical Hacking Set [PACK OF  1x2 ]</t>
  </si>
  <si>
    <t>Software Engineering:</t>
  </si>
  <si>
    <t>Software Design &amp; Architecture; Requirements Engineering; Software Testing &amp; Quality Assurance; Agile &amp; DevOps; Software Project Management; Secure Software Development.</t>
  </si>
  <si>
    <t>J.14</t>
  </si>
  <si>
    <t>9781493227433</t>
  </si>
  <si>
    <t>Koehler, Kristian</t>
  </si>
  <si>
    <t>Software Architecture and Design</t>
  </si>
  <si>
    <t>J.08</t>
  </si>
  <si>
    <t>9783662692424</t>
  </si>
  <si>
    <t>Weyrich, Michael</t>
  </si>
  <si>
    <t>Industrial Automation and Information Technology: IT Architectures, Communication and Software for System Design</t>
  </si>
  <si>
    <t>Springer Vieweg</t>
  </si>
  <si>
    <t>J.17</t>
  </si>
  <si>
    <t>9780262553049</t>
  </si>
  <si>
    <t>Petre, Marian; Hoek, Andre Van Der</t>
  </si>
  <si>
    <t>Software Design Decoded: 66 Ways Experts Think</t>
  </si>
  <si>
    <t>J.09</t>
  </si>
  <si>
    <t>9781098151546</t>
  </si>
  <si>
    <t>White, Elecia</t>
  </si>
  <si>
    <t>Making Embedded Systems: Design Patterns for Great Software</t>
  </si>
  <si>
    <t>J.16</t>
  </si>
  <si>
    <t>9781032725215</t>
  </si>
  <si>
    <t>Wilson, Greg</t>
  </si>
  <si>
    <t>Software Design by Example: A Tool-Based Introduction with Python</t>
  </si>
  <si>
    <t>J.01</t>
  </si>
  <si>
    <t>9781633439252</t>
  </si>
  <si>
    <t>Kelle, Evelyn; Verschatse, Gien; Baas-Schwegler, Kenny</t>
  </si>
  <si>
    <t>Collaborative Software Design</t>
  </si>
  <si>
    <t>J.10</t>
  </si>
  <si>
    <t>9781633439504</t>
  </si>
  <si>
    <t>Mak, Ronald</t>
  </si>
  <si>
    <t>Object-Oriented Software Design in C++</t>
  </si>
  <si>
    <t>J.05</t>
  </si>
  <si>
    <t>9781098175511</t>
  </si>
  <si>
    <t>Richards, Mark; Ford, Neal</t>
  </si>
  <si>
    <t>Fundamentals of Software Architecture: A Modern Engineering Approach</t>
  </si>
  <si>
    <t>J.15</t>
  </si>
  <si>
    <t>9781493225989</t>
  </si>
  <si>
    <t>Gharbi, Mahbouba; Koschel, Arne; Rausch, Andreas; Tiemeyer, Holger</t>
  </si>
  <si>
    <t>Software Architecture Fundamentals</t>
  </si>
  <si>
    <t>J.04</t>
  </si>
  <si>
    <t>9781098151867</t>
  </si>
  <si>
    <t>Harmel-Law, Andrew</t>
  </si>
  <si>
    <t>Facilitating Software Architecture: Empowering Teams to Make Architectural Decisions</t>
  </si>
  <si>
    <t>J.07</t>
  </si>
  <si>
    <t>9781098134358</t>
  </si>
  <si>
    <t>Gandhi, Raju; Richards, Mark; Ford, Neal</t>
  </si>
  <si>
    <t>Head First Software Architecture: A Learner's Guide to Architectural Thinking</t>
  </si>
  <si>
    <t>J.13</t>
  </si>
  <si>
    <t>9780138249731</t>
  </si>
  <si>
    <t>Perera, Srinath</t>
  </si>
  <si>
    <t>Software Architecture and Decision-Making: Leveraging Leadership, Technology, and Product Management to Build Great Products</t>
  </si>
  <si>
    <t>J.02</t>
  </si>
  <si>
    <t>9780138249328</t>
  </si>
  <si>
    <t>Goldman, Oliver</t>
  </si>
  <si>
    <t>Effective Software Architecture: Building Better Software Faster</t>
  </si>
  <si>
    <t>J.12</t>
  </si>
  <si>
    <t>9783662692042</t>
  </si>
  <si>
    <t>Pohl, Klaus</t>
  </si>
  <si>
    <t>Requirements Engineering: Fundamentals, Principles, and Techniques</t>
  </si>
  <si>
    <t>Springer-Verlag Berlin and Heidelberg GmbH &amp; Co. K</t>
  </si>
  <si>
    <t>J.19</t>
  </si>
  <si>
    <t>9781633437364</t>
  </si>
  <si>
    <t>Winteringham, Mark</t>
  </si>
  <si>
    <t>Software Testing with Generative AI</t>
  </si>
  <si>
    <t>J.03</t>
  </si>
  <si>
    <t>9781032488196</t>
  </si>
  <si>
    <t>Yin, Yongfeng; Jiang, Bo</t>
  </si>
  <si>
    <t>Embedded Software System Testing: Automatic Testing Solution Based on Formal Method</t>
  </si>
  <si>
    <t>J.06</t>
  </si>
  <si>
    <t>9783031805776</t>
  </si>
  <si>
    <t>O'Regan, Gerard</t>
  </si>
  <si>
    <t>Guide to Software Project Management</t>
  </si>
  <si>
    <t>J.18</t>
  </si>
  <si>
    <t>9781032430577</t>
  </si>
  <si>
    <t>Peters, Lawrence J.</t>
  </si>
  <si>
    <t>Software Project Management: Methods and Techniques</t>
  </si>
  <si>
    <t>J.11</t>
  </si>
  <si>
    <t>9789365891911</t>
  </si>
  <si>
    <t>Thakur, Abhi Basu</t>
  </si>
  <si>
    <t>Practical Software Project Management: Design and track execution models, and manage dependencies, changes, and project issues</t>
  </si>
  <si>
    <t>Geophysics:</t>
  </si>
  <si>
    <t>Applied &amp; Exploration Geophysics; Seismology; Environmental &amp; Engineering Geophysics; Geophysical Instrumentation; Petroleum &amp; Mineral Exploration.</t>
  </si>
  <si>
    <t>K.01</t>
  </si>
  <si>
    <t>9781119627951</t>
  </si>
  <si>
    <t>Dickman, Steven R.</t>
  </si>
  <si>
    <t>Earth System Geophysics</t>
  </si>
  <si>
    <t>American Geophysical Union</t>
  </si>
  <si>
    <t>K.02</t>
  </si>
  <si>
    <t>9786209473111</t>
  </si>
  <si>
    <t>Bokieva, Shahnoza</t>
  </si>
  <si>
    <t>Geophysics of oil and gas fields</t>
  </si>
  <si>
    <t>Our Knowledge Publishing</t>
  </si>
  <si>
    <t>K.03</t>
  </si>
  <si>
    <t>9783031178696</t>
  </si>
  <si>
    <t>Clauser, Christoph</t>
  </si>
  <si>
    <t>Introduction to Geophysics: Global Physical Fields and Processes in the Earth</t>
  </si>
  <si>
    <t>K.04</t>
  </si>
  <si>
    <t>9780691267968</t>
  </si>
  <si>
    <t>Tromp, Jeroen</t>
  </si>
  <si>
    <t>Theoretical and Computational Seismology</t>
  </si>
  <si>
    <t>Princeton University Press</t>
  </si>
  <si>
    <t>K.05</t>
  </si>
  <si>
    <t>9781119654469</t>
  </si>
  <si>
    <t>Mallick, Subhashis</t>
  </si>
  <si>
    <t>Computation, Optimization, and Machine Learning in Seismology</t>
  </si>
  <si>
    <t>K.06</t>
  </si>
  <si>
    <t>9780521199001</t>
  </si>
  <si>
    <t>Montagner, Jean-Paul; Mainprice, David</t>
  </si>
  <si>
    <t>Anisotropic Seismology</t>
  </si>
  <si>
    <t>K.07</t>
  </si>
  <si>
    <t>9780443214240</t>
  </si>
  <si>
    <t>Mikada, Hitoshi; Zhdanov, Michael S.; Kasahara, Junzo</t>
  </si>
  <si>
    <t>Active Geophysical Monitoring</t>
  </si>
  <si>
    <t>K.08</t>
  </si>
  <si>
    <t>9780192874535</t>
  </si>
  <si>
    <t>McGuire, Bill</t>
  </si>
  <si>
    <t>Geophysical and Climate Hazards: A Very Short Introduction</t>
  </si>
  <si>
    <t>K.09</t>
  </si>
  <si>
    <t>9781032315041</t>
  </si>
  <si>
    <t>Morita, Osamu</t>
  </si>
  <si>
    <t>Classical Mechanics in Geophysical Fluid Dynamics</t>
  </si>
  <si>
    <t>K.10</t>
  </si>
  <si>
    <t>9781041139614</t>
  </si>
  <si>
    <t>Mishra, O. P.; Naskar, D. C.</t>
  </si>
  <si>
    <t>Geothermal Resource Exploration and Development: Geophysical Techniques for Sustainable Energy</t>
  </si>
  <si>
    <t>K.11</t>
  </si>
  <si>
    <t>9780198933663</t>
  </si>
  <si>
    <t>Zeitlin, Prof Vladimir</t>
  </si>
  <si>
    <t>Geophysical Fluid Dynamics: Understanding (almost) Everything with Rotating Shallow Water Models</t>
  </si>
  <si>
    <t>K.12</t>
  </si>
  <si>
    <t>9789811926754</t>
  </si>
  <si>
    <t>Dou, Lirong; Xiao, Kunye; Wang, Jingchun</t>
  </si>
  <si>
    <t>Petroleum Geology and Exploration of the Bongor Basin</t>
  </si>
  <si>
    <t>K.13</t>
  </si>
  <si>
    <t>9780443298738</t>
  </si>
  <si>
    <t>Haldar, Swapan Kumar</t>
  </si>
  <si>
    <t>Mineral Exploration: Principles and Applications for a Sustainable Future</t>
  </si>
  <si>
    <t>K.14</t>
  </si>
  <si>
    <t>9780323953207</t>
  </si>
  <si>
    <t>Gaeta Tassinari, Colombo Celso</t>
  </si>
  <si>
    <t>Radiogenic Isotopes Applied to Mineral Exploration: A Practical Guide</t>
  </si>
  <si>
    <t>Geology:</t>
  </si>
  <si>
    <t>Physical &amp; Historical Geology; Mineralogy; Petrology; Structural Geology; Stratigraphy; Sedimentology; Hydrogeology; Economic &amp; Engineering Geology.</t>
  </si>
  <si>
    <t>L.01</t>
  </si>
  <si>
    <t>9783031196140</t>
  </si>
  <si>
    <t>Schmidt, Susanne Theodora</t>
  </si>
  <si>
    <t>Transmitted Light Microscopy of Rock-Forming Minerals: An Introduction to Optical Mineralogy</t>
  </si>
  <si>
    <t>L.02</t>
  </si>
  <si>
    <t>9783031288074</t>
  </si>
  <si>
    <t>Bindi, Luca; Cruciani, Giuseppe</t>
  </si>
  <si>
    <t>Celebrating the International Year of Mineralogy: Progress and Landmark Discoveries of the Last Decades</t>
  </si>
  <si>
    <t>L.03</t>
  </si>
  <si>
    <t>9781024291483</t>
  </si>
  <si>
    <t>Hatch, Frederick Henry</t>
  </si>
  <si>
    <t xml:space="preserve">Introduction to the Study of Petrology, An </t>
  </si>
  <si>
    <t>Hutson Street Press</t>
  </si>
  <si>
    <t>L.04</t>
  </si>
  <si>
    <t>9783030978808</t>
  </si>
  <si>
    <t>Morse, Stearns A.</t>
  </si>
  <si>
    <t>Basalts and Phase Diagrams: An Introduction to the Quantitative Use of Phase Diagrams in Igneous Petrology</t>
  </si>
  <si>
    <t>L.05</t>
  </si>
  <si>
    <t>9781119739838</t>
  </si>
  <si>
    <t>Levell, Bruce</t>
  </si>
  <si>
    <t>Reading's Sedimentary Environments: Processes, Facies and Stratigraphy</t>
  </si>
  <si>
    <t>L.06</t>
  </si>
  <si>
    <t>9780443430411</t>
  </si>
  <si>
    <t>Montenari, Michael</t>
  </si>
  <si>
    <t>Stratigraphy &amp; Timescales: Volume 10</t>
  </si>
  <si>
    <t>L.07</t>
  </si>
  <si>
    <t>9780443265365</t>
  </si>
  <si>
    <t>Catuneanu, Octavian</t>
  </si>
  <si>
    <t>Stratigraphy</t>
  </si>
  <si>
    <t>L.08</t>
  </si>
  <si>
    <t>9781032305349</t>
  </si>
  <si>
    <t>Jain, Sreepat</t>
  </si>
  <si>
    <t>Fundamentals of Sedimentology</t>
  </si>
  <si>
    <t>L.09</t>
  </si>
  <si>
    <t>9783031484292</t>
  </si>
  <si>
    <t>Li, Peiyue; Wu, Jianhua; Zhou, Wanfang; LaMoreaux, James Wood</t>
  </si>
  <si>
    <t>Hazard Hydrogeology</t>
  </si>
  <si>
    <t>L.10</t>
  </si>
  <si>
    <t>9781024910346</t>
  </si>
  <si>
    <t>Economic Geology</t>
  </si>
  <si>
    <t>L.11</t>
  </si>
  <si>
    <t>9781032392240</t>
  </si>
  <si>
    <t>Hencher, Steve</t>
  </si>
  <si>
    <t>Practical Engineering Geology</t>
  </si>
  <si>
    <t>L.12</t>
  </si>
  <si>
    <t>9783662687611</t>
  </si>
  <si>
    <t>Genske, Dieter D.</t>
  </si>
  <si>
    <t>Engineering Geology: An Introduction</t>
  </si>
  <si>
    <t>Physics:</t>
  </si>
  <si>
    <t>Classical Mechanics; Electromagnetism; Thermodynamics; Quantum &amp; Nuclear Physics; Solid State &amp; Materials Physics; Mathematical &amp; Computational Physics.</t>
  </si>
  <si>
    <t>M.01</t>
  </si>
  <si>
    <t>9781394180011</t>
  </si>
  <si>
    <t>Balanis, Constantine A.</t>
  </si>
  <si>
    <t>Balanis' Advanced Engineering Electromagnetics</t>
  </si>
  <si>
    <t>M.02</t>
  </si>
  <si>
    <t>9781009352031</t>
  </si>
  <si>
    <t>Thebault, Karim Pierre Yves</t>
  </si>
  <si>
    <t>Classical and Quantum Phase Space Mechanics</t>
  </si>
  <si>
    <t>M.03</t>
  </si>
  <si>
    <t>9781032987972</t>
  </si>
  <si>
    <t>Gonzalez-Lopez, Artemio</t>
  </si>
  <si>
    <t>Classical Mechanics</t>
  </si>
  <si>
    <t>M.04</t>
  </si>
  <si>
    <t>M.05</t>
  </si>
  <si>
    <t>9781032590516</t>
  </si>
  <si>
    <t>Kulp, Christopher W.; Pagonis, Vasilis</t>
  </si>
  <si>
    <t>Classical Mechanics: A Computational Approach with Examples Using Mathematica and Python</t>
  </si>
  <si>
    <t>M.06</t>
  </si>
  <si>
    <t>9781032430997</t>
  </si>
  <si>
    <t>Ilie, Carolina C.; Schrecengost, Zachariah S.; van Kempen, Elina M.</t>
  </si>
  <si>
    <t>Classical Mechanics: Problems and Solutions</t>
  </si>
  <si>
    <t>M.07</t>
  </si>
  <si>
    <t>9781032766171</t>
  </si>
  <si>
    <t>Bickers, N.E.</t>
  </si>
  <si>
    <t>Classical Optics and Electromagnetic Waves</t>
  </si>
  <si>
    <t>M.08</t>
  </si>
  <si>
    <t>9781009389631</t>
  </si>
  <si>
    <t>Selsto, Solve</t>
  </si>
  <si>
    <t xml:space="preserve">Computational Introduction to Quantum Physics, A </t>
  </si>
  <si>
    <t>M.09</t>
  </si>
  <si>
    <t>9783031849763</t>
  </si>
  <si>
    <t>Putkaradze, Vakhtang</t>
  </si>
  <si>
    <t xml:space="preserve">Concise Introduction to Classical Mechanics, A </t>
  </si>
  <si>
    <t>M.10</t>
  </si>
  <si>
    <t>9781032994161</t>
  </si>
  <si>
    <t>Farret, Felix A.</t>
  </si>
  <si>
    <t>Effects of Electromagnetic Radiation on Living Beings</t>
  </si>
  <si>
    <t>M.11</t>
  </si>
  <si>
    <t>9781394262823</t>
  </si>
  <si>
    <t>Karmakar, Nemai Chandra</t>
  </si>
  <si>
    <t>Electromagnetic Applications for Guided and Propagating Waves</t>
  </si>
  <si>
    <t>M.12</t>
  </si>
  <si>
    <t>9781032843568</t>
  </si>
  <si>
    <t>John, Reenu Elizabeth; Varghese, Steffy Sara; Chandran, Anoop; Unnikrishnan, N. V.</t>
  </si>
  <si>
    <t>Electromagnetic Interference Shielding Technologies: Theory and Applications</t>
  </si>
  <si>
    <t>M.13</t>
  </si>
  <si>
    <t>9781032715667</t>
  </si>
  <si>
    <t>Kulkarni, Prutha Prashant; N.Mahalle, Parikshit</t>
  </si>
  <si>
    <t>Electromagnetic Radiations: Exposure and Impact</t>
  </si>
  <si>
    <t>M.14</t>
  </si>
  <si>
    <t>9781009594653</t>
  </si>
  <si>
    <t>Tong, David</t>
  </si>
  <si>
    <t>Electromagnetism: Volume 2: Lectures on Theoretical Physics</t>
  </si>
  <si>
    <t>M.15</t>
  </si>
  <si>
    <t>9781399609609</t>
  </si>
  <si>
    <t>Kay, Adam Forrest</t>
  </si>
  <si>
    <t>Escape From Shadow Physics: Quantum Theory, Quantum Reality and the Next Scientific Revolution</t>
  </si>
  <si>
    <t>Weidenfeld &amp; Nicolson</t>
  </si>
  <si>
    <t>M.16</t>
  </si>
  <si>
    <t>9781394161423</t>
  </si>
  <si>
    <t>Wu, Jianzhong; Prausnitz, John M.</t>
  </si>
  <si>
    <t>Fundamentals and Practice in Statistical Thermodynamics</t>
  </si>
  <si>
    <t>M.17</t>
  </si>
  <si>
    <t>9781394212910</t>
  </si>
  <si>
    <t>Borgnakke, Claus</t>
  </si>
  <si>
    <t>Fundamentals of Thermodynamics</t>
  </si>
  <si>
    <t>M.18</t>
  </si>
  <si>
    <t>9780443298158</t>
  </si>
  <si>
    <t>Saha, Bidyut Baran; Rupam, Tahmid Hasan; Ma, Hongbin</t>
  </si>
  <si>
    <t>Gas-Solid Adsorption Thermodynamics</t>
  </si>
  <si>
    <t>M.19</t>
  </si>
  <si>
    <t>9783031552700</t>
  </si>
  <si>
    <t>Bunemann, Joerg</t>
  </si>
  <si>
    <t>Group Theory in Physics: An Introduction with a Focus on Solid State Physics</t>
  </si>
  <si>
    <t>M.20</t>
  </si>
  <si>
    <t>9780198909231</t>
  </si>
  <si>
    <t>Markvart, Tom</t>
  </si>
  <si>
    <t>Harvesting Sunshine: From Photovoltaics to the Thermodynamics of Light</t>
  </si>
  <si>
    <t>M.21</t>
  </si>
  <si>
    <t>9781009263924</t>
  </si>
  <si>
    <t>Nandi, Upendranath</t>
  </si>
  <si>
    <t>Heat and Thermodynamics: Theory, Problems and Solutions</t>
  </si>
  <si>
    <t>M.22</t>
  </si>
  <si>
    <t>9780691277233</t>
  </si>
  <si>
    <t>Frisch, Henry J.</t>
  </si>
  <si>
    <t>Honors Classical Mechanics: From Special Relativity to Newtonian Mechanics</t>
  </si>
  <si>
    <t>M.23</t>
  </si>
  <si>
    <t>9780198907787</t>
  </si>
  <si>
    <t>Swendsen, Robert H.</t>
  </si>
  <si>
    <t xml:space="preserve">Introduction to Statistical Mechanics and Thermodynamics, An </t>
  </si>
  <si>
    <t>M.24</t>
  </si>
  <si>
    <t>9781032450995</t>
  </si>
  <si>
    <t>Gaskell, David R.; Laughlin, David E.</t>
  </si>
  <si>
    <t>Introduction to the Thermodynamics of Materials</t>
  </si>
  <si>
    <t>M.25</t>
  </si>
  <si>
    <t>9781032982632</t>
  </si>
  <si>
    <t>Johnston, David C.</t>
  </si>
  <si>
    <t>Introductory Solid State Physics: An Emphasis on Magnetism</t>
  </si>
  <si>
    <t>M.26</t>
  </si>
  <si>
    <t>9781032042329</t>
  </si>
  <si>
    <t>Gibson, Walton C.</t>
  </si>
  <si>
    <t xml:space="preserve">Method of Moments in Electromagnetics, The </t>
  </si>
  <si>
    <t>M.27</t>
  </si>
  <si>
    <t>9783527414475</t>
  </si>
  <si>
    <t>Courant, Richard; Hilbert, David</t>
  </si>
  <si>
    <t>Methods of Mathematical Physics, Volume 1</t>
  </si>
  <si>
    <t>M.28</t>
  </si>
  <si>
    <t>9783527414482</t>
  </si>
  <si>
    <t>Methods of Mathematical Physics, Volume 2</t>
  </si>
  <si>
    <t>M.29</t>
  </si>
  <si>
    <t>9780262049399</t>
  </si>
  <si>
    <t>Yanofsky, Noson S.</t>
  </si>
  <si>
    <t>Monoidal Category Theory: Unifying Concepts in Mathematics, Physics, and Computing</t>
  </si>
  <si>
    <t>M.30</t>
  </si>
  <si>
    <t>9781917226097</t>
  </si>
  <si>
    <t>Lavender, Gemma</t>
  </si>
  <si>
    <t>Navigating: Quantum Physics</t>
  </si>
  <si>
    <t>Riverside Press</t>
  </si>
  <si>
    <t>M.31</t>
  </si>
  <si>
    <t>9781394283552</t>
  </si>
  <si>
    <t>Lee, John C.</t>
  </si>
  <si>
    <t>Nuclear Reactor Physics and Engineering</t>
  </si>
  <si>
    <t>M.32</t>
  </si>
  <si>
    <t>9781032966229</t>
  </si>
  <si>
    <t>Zohuri, Bahman; Mousavi Balgehshiri, Seyed Kamal; Lomonaco, Guglielmo</t>
  </si>
  <si>
    <t>Nuclear Reactor Physics and Operation: Neutronic Analysis for Nuclear Reactor Design</t>
  </si>
  <si>
    <t>M.33</t>
  </si>
  <si>
    <t>9780367500597</t>
  </si>
  <si>
    <t>Shukla, Amritanshu; Patra, Suresh Kumar</t>
  </si>
  <si>
    <t>Nuclear Structure Physics</t>
  </si>
  <si>
    <t>M.34</t>
  </si>
  <si>
    <t>9780198929246</t>
  </si>
  <si>
    <t>Cuffaro, Michael E.; Hartmann, Stephan</t>
  </si>
  <si>
    <t>Open Systems: Physics, Metaphysics, and Methodology</t>
  </si>
  <si>
    <t>M.35</t>
  </si>
  <si>
    <t>9780241655801</t>
  </si>
  <si>
    <t>Davies, Paul</t>
  </si>
  <si>
    <t>Quantum 2.0: The Past, Present, and Future of Quantum Physics</t>
  </si>
  <si>
    <t>Pelican</t>
  </si>
  <si>
    <t>M.36</t>
  </si>
  <si>
    <t>9781032961347</t>
  </si>
  <si>
    <t>Salasnich, Luca</t>
  </si>
  <si>
    <t>Quantum Many-Body Physics: A Path Integral Approach</t>
  </si>
  <si>
    <t>M.37</t>
  </si>
  <si>
    <t>9781394225507</t>
  </si>
  <si>
    <t>Jones, Andrew Zimmerman</t>
  </si>
  <si>
    <t>Quantum Physics For Dummies</t>
  </si>
  <si>
    <t>For Dummies</t>
  </si>
  <si>
    <t>M.38</t>
  </si>
  <si>
    <t>9781009549585</t>
  </si>
  <si>
    <t>Pujol, Olivier; Carles, Robert</t>
  </si>
  <si>
    <t>Quantum Physics: Fundamentals and Applications</t>
  </si>
  <si>
    <t>M.39</t>
  </si>
  <si>
    <t>9780198931584</t>
  </si>
  <si>
    <t>Strasberg, Philipp</t>
  </si>
  <si>
    <t>Quantum Stochastic Thermodynamics: Foundations and Selected Applications</t>
  </si>
  <si>
    <t>M.40</t>
  </si>
  <si>
    <t>9781779563323</t>
  </si>
  <si>
    <t>Grkinic, Ognjen</t>
  </si>
  <si>
    <t>Solid State Physics: An Introduction</t>
  </si>
  <si>
    <t>M.41</t>
  </si>
  <si>
    <t>9781316519554</t>
  </si>
  <si>
    <t>Seifert, Udo</t>
  </si>
  <si>
    <t>Stochastic Thermodynamics</t>
  </si>
  <si>
    <t>M.42</t>
  </si>
  <si>
    <t>9780750330893</t>
  </si>
  <si>
    <t>Valiente, Manuel; Zinner, Nikolaj T</t>
  </si>
  <si>
    <t>Strongly Interacting Quantum Systems, Volume 2: Many-body physics</t>
  </si>
  <si>
    <t>Institute of Physics Publishing</t>
  </si>
  <si>
    <t>M.43</t>
  </si>
  <si>
    <t>9780262553452</t>
  </si>
  <si>
    <t>Sussman, Gerald Jay; Wisdom, Jack</t>
  </si>
  <si>
    <t>Structure and Interpretation of Classical Mechanics, second edition</t>
  </si>
  <si>
    <t>M.44</t>
  </si>
  <si>
    <t>9781009664578</t>
  </si>
  <si>
    <t>Garvin, Justin W.</t>
  </si>
  <si>
    <t xml:space="preserve">Student's Guide to the Laws of Thermodynamics, A </t>
  </si>
  <si>
    <t>M.45</t>
  </si>
  <si>
    <t>9783031955112</t>
  </si>
  <si>
    <t>Cassing, Wolfgang</t>
  </si>
  <si>
    <t>Theoretical Physics Compact I: Classical Mechanics</t>
  </si>
  <si>
    <t>M.46</t>
  </si>
  <si>
    <t>9781394323494</t>
  </si>
  <si>
    <t>Pauken, Michael</t>
  </si>
  <si>
    <t>Thermodynamics For Dummies</t>
  </si>
  <si>
    <t>M.47</t>
  </si>
  <si>
    <t>9780198842033</t>
  </si>
  <si>
    <t>Tasaki, Hal; Paquette, Glenn</t>
  </si>
  <si>
    <t>Thermodynamics: A Modern Approach</t>
  </si>
  <si>
    <t>Physics with Electronics:</t>
  </si>
  <si>
    <t>Analog &amp; Digital Electronics; Circuit Theory; Semiconductor Devices; Instrumentation &amp; Measurement; Communication Systems; Microprocessors &amp; Embedded Systems.</t>
  </si>
  <si>
    <t>N.01</t>
  </si>
  <si>
    <t>9781394270637</t>
  </si>
  <si>
    <t>Khang, Alex; Dhanda, Namrata; Verma, Rajat</t>
  </si>
  <si>
    <t>AI-Embedded Blockchain Technologies and Applications: Enhancing Cybersecurity Systems in Smart Environments</t>
  </si>
  <si>
    <t>N.02</t>
  </si>
  <si>
    <t>9781032567563</t>
  </si>
  <si>
    <t>Ghosh, Banani</t>
  </si>
  <si>
    <t>Basics of Digital Electronics</t>
  </si>
  <si>
    <t>N.03</t>
  </si>
  <si>
    <t>9783031697258</t>
  </si>
  <si>
    <t>Monkman, Gareth</t>
  </si>
  <si>
    <t>Digital Electronics</t>
  </si>
  <si>
    <t>N.04</t>
  </si>
  <si>
    <t>9781032574479</t>
  </si>
  <si>
    <t>Masu, Kazuya; Amakawa, Shuhei</t>
  </si>
  <si>
    <t>Elementary Semiconductor Device Physics: Understanding Energy Band Formation Using Circuit Theory</t>
  </si>
  <si>
    <t>N.05</t>
  </si>
  <si>
    <t>9783031828218</t>
  </si>
  <si>
    <t>Meyer-Baese, Uwe</t>
  </si>
  <si>
    <t>Embedded Microprocessor System Design using FPGAs</t>
  </si>
  <si>
    <t>N.06</t>
  </si>
  <si>
    <t>9781032980379</t>
  </si>
  <si>
    <t>Hobbs, Chris</t>
  </si>
  <si>
    <t>Embedded Software Development for Safety-Critical Systems</t>
  </si>
  <si>
    <t>N.07</t>
  </si>
  <si>
    <t>N.08</t>
  </si>
  <si>
    <t>9781718503489</t>
  </si>
  <si>
    <t>Merli, Dominik</t>
  </si>
  <si>
    <t>Engineering Secure Devices: A Practical Guide for Embedded System Architects and Developers</t>
  </si>
  <si>
    <t>N.09</t>
  </si>
  <si>
    <t>9781779563415</t>
  </si>
  <si>
    <t>Novakovic, Jasmina</t>
  </si>
  <si>
    <t>Essentials of Semiconductor Device Physics</t>
  </si>
  <si>
    <t>N.10</t>
  </si>
  <si>
    <t>9781394311736</t>
  </si>
  <si>
    <t>Gudipalli, Abhishek; Pandian, B. Jaganatha; Prabha, N. Amutha; Indragandhi, V.</t>
  </si>
  <si>
    <t>Integrated Systems: Embedded, Signal Processing, and Communication</t>
  </si>
  <si>
    <t>N.11</t>
  </si>
  <si>
    <t>9783031860058</t>
  </si>
  <si>
    <t>Sutter, Peter</t>
  </si>
  <si>
    <t>Introduction to Semiconductors: From Materials to Devices</t>
  </si>
  <si>
    <t>N.12</t>
  </si>
  <si>
    <t>N.13</t>
  </si>
  <si>
    <t>9783527352258</t>
  </si>
  <si>
    <t>Zang, Zhigang; Cai, Wensi; Zhou, Yong</t>
  </si>
  <si>
    <t>Metal Oxide Semiconductors: Synthesis, Properties, and Devices</t>
  </si>
  <si>
    <t>N.14</t>
  </si>
  <si>
    <t>9781394245291</t>
  </si>
  <si>
    <t>Vasavada, Darshak S.; Sinha, S. K.</t>
  </si>
  <si>
    <t>Microprocessor, The : A Practical Introduction using the Arm Cortex-M0 Processor</t>
  </si>
  <si>
    <t>N.15</t>
  </si>
  <si>
    <t>9781032317922</t>
  </si>
  <si>
    <t>Raj, Balwinder; Raman, Ashish</t>
  </si>
  <si>
    <t>Nanoscale Semiconductors: Materials, Devices and Circuits</t>
  </si>
  <si>
    <t>N.16</t>
  </si>
  <si>
    <t>9783031554599</t>
  </si>
  <si>
    <t>Ricci, Leonardo; Perinelli, Alessio; Prevedelli, Marco</t>
  </si>
  <si>
    <t xml:space="preserve">Physics Behind Electronics, The </t>
  </si>
  <si>
    <t>N.17</t>
  </si>
  <si>
    <t>N.18</t>
  </si>
  <si>
    <t>9781032061627</t>
  </si>
  <si>
    <t>Nirmal, D.; Ajayan, J.; Fay, Patrick J.</t>
  </si>
  <si>
    <t>Semiconductor Devices and Technologies for Future Ultra Low Power Electronics</t>
  </si>
  <si>
    <t>N.19</t>
  </si>
  <si>
    <t>9783031457524</t>
  </si>
  <si>
    <t>Banerjee, Amal</t>
  </si>
  <si>
    <t>Semiconductor Devices: Diodes, Transistors, Solar Cells, Charge Coupled Devices and Solid State Lasers</t>
  </si>
  <si>
    <t>N.20</t>
  </si>
  <si>
    <t>9780367687151</t>
  </si>
  <si>
    <t>Yu, Shimeng</t>
  </si>
  <si>
    <t>Semiconductor Memory Devices and Circuits</t>
  </si>
  <si>
    <t>N.21</t>
  </si>
  <si>
    <t>9783110703405</t>
  </si>
  <si>
    <t>Michler, Peter; Portalupi, Simone Luca</t>
  </si>
  <si>
    <t>Semiconductor Quantum Light Sources: Fundamentals, Technologies and Devices</t>
  </si>
  <si>
    <t>N.23</t>
  </si>
  <si>
    <t>9780367648107</t>
  </si>
  <si>
    <t>Raman, Ashish; Shekhar, Deep; Kumar, Naveen</t>
  </si>
  <si>
    <t>Sub-Micron Semiconductor Devices: Design and Applications</t>
  </si>
  <si>
    <t>N.24</t>
  </si>
  <si>
    <t>9781009370691</t>
  </si>
  <si>
    <t>Collier, Richard</t>
  </si>
  <si>
    <t>Transmission Lines: Equivalent Circuits, Electromagnetic Theory, and Photons</t>
  </si>
  <si>
    <t>Food Science and Technology:</t>
  </si>
  <si>
    <t>Food Chemistry; Food Microbiology; Food Processing &amp; Preservation; Food Quality Control &amp; Safety; Nutrition &amp; Dietetics; Food Engineering; Packaging Technology.</t>
  </si>
  <si>
    <t>O.01</t>
  </si>
  <si>
    <t>9781350022102</t>
  </si>
  <si>
    <t>Murcott, Anne</t>
  </si>
  <si>
    <t xml:space="preserve">(Not So) Secret Lives of Food Packaging, The </t>
  </si>
  <si>
    <t>Bloomsbury Academic</t>
  </si>
  <si>
    <t>O.02</t>
  </si>
  <si>
    <t>9781118665961</t>
  </si>
  <si>
    <t>Leslie, Wilma; Hankey, Catherine; Lean, Mike</t>
  </si>
  <si>
    <t>ABC of Nutrition</t>
  </si>
  <si>
    <t>O.03</t>
  </si>
  <si>
    <t>9798214449685</t>
  </si>
  <si>
    <t>Gropper, Sareen; Carr, Timothy P</t>
  </si>
  <si>
    <t>Advanced Nutrition and Human Metabolism</t>
  </si>
  <si>
    <t>Wadsworth Publishing Co Inc</t>
  </si>
  <si>
    <t>O.04</t>
  </si>
  <si>
    <t>9781774913482</t>
  </si>
  <si>
    <t>Malik, Junaid Ahmad; Goyal, Megh R.; Birwal, Preeti; Watharkar, Ritesh B.</t>
  </si>
  <si>
    <t>Advanced Research Methods in Food Processing Technologies: Technology for Sustainable Food Production</t>
  </si>
  <si>
    <t>O.05</t>
  </si>
  <si>
    <t>9780443362989</t>
  </si>
  <si>
    <t>Bhat, Zuhaib F.; (Aladin) Bekhit, Alaa El-Din A.</t>
  </si>
  <si>
    <t>Advances in Edible Packaging Systems for Food Preservation: Processing, Bioactive Agents and Preservation</t>
  </si>
  <si>
    <t>O.06</t>
  </si>
  <si>
    <t>9781774913949</t>
  </si>
  <si>
    <t>Goyal, Megh R.; Birwal, Preeti; Pandey, Anand Kumar; Watharkar, Ritesh Balaso</t>
  </si>
  <si>
    <t>Advances in Sustainable Food Packaging Technology</t>
  </si>
  <si>
    <t>O.07</t>
  </si>
  <si>
    <t>9781394174553</t>
  </si>
  <si>
    <t>Kumar, Santosh; Mukherjee, Avik; Katiyar, Vimal</t>
  </si>
  <si>
    <t>Agro-Waste Derived Biopolymers and Biocomposites: Innovations and Sustainability in Food Packaging</t>
  </si>
  <si>
    <t>O.08</t>
  </si>
  <si>
    <t>9781837674275</t>
  </si>
  <si>
    <t>Shukla, Ashutosh Kumar</t>
  </si>
  <si>
    <t>AI Applications in Food Processing and Packaging</t>
  </si>
  <si>
    <t>O.09</t>
  </si>
  <si>
    <t>O.10</t>
  </si>
  <si>
    <t>9780323907477</t>
  </si>
  <si>
    <t>Barros-Velazquez, Jorge</t>
  </si>
  <si>
    <t>Antimicrobial Food Packaging</t>
  </si>
  <si>
    <t>O.11</t>
  </si>
  <si>
    <t>9783031896804</t>
  </si>
  <si>
    <t>Karoui, Romdhane</t>
  </si>
  <si>
    <t>Application of Fluorescence Spectroscopy in Food Quality and Control</t>
  </si>
  <si>
    <t>O.12</t>
  </si>
  <si>
    <t>9780323996068</t>
  </si>
  <si>
    <t>Hill, Annie</t>
  </si>
  <si>
    <t>Brewing Microbiology: Managing Microbes, Ensuring Quality and Valorising Waste</t>
  </si>
  <si>
    <t>Woodhead Publishing</t>
  </si>
  <si>
    <t>O.13</t>
  </si>
  <si>
    <t>O.14</t>
  </si>
  <si>
    <t>9780443221828</t>
  </si>
  <si>
    <t>K Tiwari, Brijesh; Bhavya, Mysore Lokesh</t>
  </si>
  <si>
    <t>Chemistry of Thermal and Non-Thermal Food Processing Technologies</t>
  </si>
  <si>
    <t>O.15</t>
  </si>
  <si>
    <t>9781071641460</t>
  </si>
  <si>
    <t>Gomes da Cruz, Adriano; Colombo Pimentel, Tatiana; Esmerino, Erick Almeida; Verruck, Silvani</t>
  </si>
  <si>
    <t>Dairy Foods Processing</t>
  </si>
  <si>
    <t>O.16</t>
  </si>
  <si>
    <t>9781284300758</t>
  </si>
  <si>
    <t>Insel, Dr. Paul; McMahon, Kimberley; Bernstein, Melissa</t>
  </si>
  <si>
    <t>Discovering Nutrition</t>
  </si>
  <si>
    <t>O.17</t>
  </si>
  <si>
    <t>9781032606897</t>
  </si>
  <si>
    <t>Ju, Jian; Zhao, Fangyuan</t>
  </si>
  <si>
    <t>Edible Film and Coatings: Innovative Applications for Packaging and Food Preservation</t>
  </si>
  <si>
    <t>O.18</t>
  </si>
  <si>
    <t>9781032108049</t>
  </si>
  <si>
    <t>Kapoor, Swati; Kaur, Gurkirat; Dar, B. N.; Sharma, Savita</t>
  </si>
  <si>
    <t>Emerging Techniques for Food Processing and Preservation</t>
  </si>
  <si>
    <t>O.19</t>
  </si>
  <si>
    <t>9781774915752</t>
  </si>
  <si>
    <t>Torre, Leonardo Sepulveda; Kannan, Porteen; Haghi, A. K.</t>
  </si>
  <si>
    <t>Engineering Principles for Food Processing Technology and Product Realization</t>
  </si>
  <si>
    <t>O.20</t>
  </si>
  <si>
    <t>9781284316414</t>
  </si>
  <si>
    <t>Width, Mary</t>
  </si>
  <si>
    <t xml:space="preserve">Essential Pocket Guide for Clinical Nutrition, The </t>
  </si>
  <si>
    <t>O.21</t>
  </si>
  <si>
    <t>9780128187647</t>
  </si>
  <si>
    <t>Jafari, Seid Mahdi; guven, Esra Capanoglu; Karaca, Asli Can</t>
  </si>
  <si>
    <t>Evaporation Technology in Food Processing: Unit Operations and Processing Equipment in the Food Industry</t>
  </si>
  <si>
    <t>O.22</t>
  </si>
  <si>
    <t>9781032696164</t>
  </si>
  <si>
    <t>Gallegos, Danielle; Wattanapenpaiboon, Naiyana; Wahlqvist, Mark L.</t>
  </si>
  <si>
    <t>Food and Nutrition: Sustainable Food and Health Systems</t>
  </si>
  <si>
    <t>O.23</t>
  </si>
  <si>
    <t>9780197802816</t>
  </si>
  <si>
    <t>Newby, P.K.</t>
  </si>
  <si>
    <t>Food and Nutrition: What Everyone Needs to Know (R)</t>
  </si>
  <si>
    <t>O.24</t>
  </si>
  <si>
    <t>9780520397637</t>
  </si>
  <si>
    <t>O'Hara, Patricia B</t>
  </si>
  <si>
    <t>Food Chemistry in Small Bites</t>
  </si>
  <si>
    <t>University of California Press</t>
  </si>
  <si>
    <t>O.25</t>
  </si>
  <si>
    <t>9781071646779</t>
  </si>
  <si>
    <t>Mariutti, Lilian; Vriesekoop, Frank</t>
  </si>
  <si>
    <t>Food Chemistry: Basic Protocols</t>
  </si>
  <si>
    <t>O.26</t>
  </si>
  <si>
    <t>9781394237586</t>
  </si>
  <si>
    <t>Sen, Mousumi</t>
  </si>
  <si>
    <t>Food Coatings and Preservation Technologies</t>
  </si>
  <si>
    <t>O.27</t>
  </si>
  <si>
    <t>9781394316564</t>
  </si>
  <si>
    <t>Chakravorty, Abir</t>
  </si>
  <si>
    <t>Food Engineering Automation with Robotics and AI</t>
  </si>
  <si>
    <t>O.28</t>
  </si>
  <si>
    <t>9783031341250</t>
  </si>
  <si>
    <t>Rizvi, Syed S. H.</t>
  </si>
  <si>
    <t>Food Engineering Principles and Practices: A One-Semester Course</t>
  </si>
  <si>
    <t>O.29</t>
  </si>
  <si>
    <t>O.30</t>
  </si>
  <si>
    <t>9781032760636</t>
  </si>
  <si>
    <t>Singh, Neelam; Singh, I. S.</t>
  </si>
  <si>
    <t>Food Nutrition, Science and Technology</t>
  </si>
  <si>
    <t>O.31</t>
  </si>
  <si>
    <t>9781071636152</t>
  </si>
  <si>
    <t>Otoni, Caio</t>
  </si>
  <si>
    <t>Food Packaging Materials: Current Protocols</t>
  </si>
  <si>
    <t>O.32</t>
  </si>
  <si>
    <t>9781041130987</t>
  </si>
  <si>
    <t>Sukumar, M.</t>
  </si>
  <si>
    <t>Food Packaging Technology</t>
  </si>
  <si>
    <t>O.33</t>
  </si>
  <si>
    <t>9789819968336</t>
  </si>
  <si>
    <t>Malik, Junaid Ahmad; Goyal, Megh R.; Kumari, Anu</t>
  </si>
  <si>
    <t>Food Process Engineering and Technology: Safety, Packaging, Nanotechnologies and Human Health</t>
  </si>
  <si>
    <t>O.34</t>
  </si>
  <si>
    <t>9781439883372</t>
  </si>
  <si>
    <t>Malcata, F. Xavier</t>
  </si>
  <si>
    <t>Food Process Engineering: Basics and Mechanical Operations</t>
  </si>
  <si>
    <t>CRC Press Inc</t>
  </si>
  <si>
    <t>O.35</t>
  </si>
  <si>
    <t>9780367351137</t>
  </si>
  <si>
    <t>Food Process Engineering: Thermal and Chemical Operations</t>
  </si>
  <si>
    <t>O.36</t>
  </si>
  <si>
    <t>9781774639467</t>
  </si>
  <si>
    <t>Goyal, Megh R.; Mishra, Santosh K.; Birwal, Preeti</t>
  </si>
  <si>
    <t>Food Processing and Preservation Technology: Advances, Methods, and Applications</t>
  </si>
  <si>
    <t>O.37</t>
  </si>
  <si>
    <t>9781032075617</t>
  </si>
  <si>
    <t>Dhull, Sanju Bala; Singh, Ajay; Kumar, Pradyuman</t>
  </si>
  <si>
    <t>Food Processing Waste and Utilization: Tackling Pollution and Enhancing Product Recovery</t>
  </si>
  <si>
    <t>O.38</t>
  </si>
  <si>
    <t>9780367756154</t>
  </si>
  <si>
    <t>Dash, Kshirod Kumar; Chakraborty, Sourav</t>
  </si>
  <si>
    <t>Food Processing: Advances in Non-Thermal Technologies</t>
  </si>
  <si>
    <t>O.39</t>
  </si>
  <si>
    <t>9781032594255</t>
  </si>
  <si>
    <t>Smith, Madeleine; Ferris, Iain</t>
  </si>
  <si>
    <t>Food Safety and Inspection: An Introduction, Second Edition</t>
  </si>
  <si>
    <t>O.40</t>
  </si>
  <si>
    <t>9781032222820</t>
  </si>
  <si>
    <t>Ni, Kuei-Jung; Lin, Ching-Fu</t>
  </si>
  <si>
    <t>Food Safety and Technology Governance</t>
  </si>
  <si>
    <t>O.41</t>
  </si>
  <si>
    <t>9781394174560</t>
  </si>
  <si>
    <t>Fink, Johannes Karl</t>
  </si>
  <si>
    <t>Food Safety, Plastics and Sustainability: Materials, Chemicals, Recycling and the Circular Economy</t>
  </si>
  <si>
    <t>O.42</t>
  </si>
  <si>
    <t>9780128193402</t>
  </si>
  <si>
    <t>Bianchini, Andreia; Stratton, Jayne</t>
  </si>
  <si>
    <t>Food Safety: Grain Based Foods</t>
  </si>
  <si>
    <t>Butterworth-Heinemann Ltd</t>
  </si>
  <si>
    <t>O.43</t>
  </si>
  <si>
    <t>9781032370002</t>
  </si>
  <si>
    <t>Kuddus, Mohammed; Ashraf, Syed Amir; Rahman, Pattanathu</t>
  </si>
  <si>
    <t>Food Safety: Quality Control and Management</t>
  </si>
  <si>
    <t>O.44</t>
  </si>
  <si>
    <t>O.45</t>
  </si>
  <si>
    <t>9781774917084</t>
  </si>
  <si>
    <t>Buenrostro-Figueroa, Jose Juan; Tafolla-Arellano, Julio Cesar</t>
  </si>
  <si>
    <t>Food Security, Safety, and Sustainability: Validated Innovative Approaches and Technological Advancements</t>
  </si>
  <si>
    <t>O.46</t>
  </si>
  <si>
    <t>9781032687872</t>
  </si>
  <si>
    <t>Agriopoulou, Sofia; Tarapoulouzi, Maria</t>
  </si>
  <si>
    <t>Food Toxicology and Safety: Food Manufacturing Related Effects</t>
  </si>
  <si>
    <t>O.47</t>
  </si>
  <si>
    <t>9781071647622</t>
  </si>
  <si>
    <t>Mohanta, Yugal Kishore; Nayak, Prakash Kumar; Chandra Nath, Pinku</t>
  </si>
  <si>
    <t>Fruit and Vegetable Processing Wastes and By-products: Utilization and Future Prospects</t>
  </si>
  <si>
    <t>O.48</t>
  </si>
  <si>
    <t>O.49</t>
  </si>
  <si>
    <t>9781036450779</t>
  </si>
  <si>
    <t>Ojimelukwe, Philippa C.; Oganezi, Nuria</t>
  </si>
  <si>
    <t>Fundamentals of Food Science and Nutrition</t>
  </si>
  <si>
    <t>O.50</t>
  </si>
  <si>
    <t>9781032791340</t>
  </si>
  <si>
    <t>Nollet, Leo M.L.; Basantia, N.C.</t>
  </si>
  <si>
    <t>Green Chemistry in Food Analysis</t>
  </si>
  <si>
    <t>O.51</t>
  </si>
  <si>
    <t>O.52</t>
  </si>
  <si>
    <t>9781394254729</t>
  </si>
  <si>
    <t>Couto Lorenzo, Luis</t>
  </si>
  <si>
    <t>HACCP System Auditing for Food Safety: Principles and Techniques</t>
  </si>
  <si>
    <t>O.53</t>
  </si>
  <si>
    <t>O.54</t>
  </si>
  <si>
    <t>9781774638514</t>
  </si>
  <si>
    <t>Goyal, Megh R.; Birwal, Preeti; Sharma, Monika</t>
  </si>
  <si>
    <t>Handbook of Research on Food Processing and Preservation Technologies: Volume 1: Nonthermal and Innovative Food Processing Methods</t>
  </si>
  <si>
    <t>O.55</t>
  </si>
  <si>
    <t>9781774638521</t>
  </si>
  <si>
    <t>Handbook of Research on Food Processing and Preservation Technologies: Volume 2: Nonthermal Food Preservation and Novel Processing Strategies</t>
  </si>
  <si>
    <t>O.56</t>
  </si>
  <si>
    <t>9781774638538</t>
  </si>
  <si>
    <t>Birwal, Preeti; Goyal, Megh R.; Sharma, Monika</t>
  </si>
  <si>
    <t>Handbook of Research on Food Processing and Preservation Technologies: Volume 3: Computer-Aided Food Processing and Quality Evaluation Techniques</t>
  </si>
  <si>
    <t>O.57</t>
  </si>
  <si>
    <t>9781774638545</t>
  </si>
  <si>
    <t>Goyal, Megh R.; Sharma, Monika; Birwal, Preeti</t>
  </si>
  <si>
    <t>Handbook of Research on Food Processing and Preservation Technologies: Volume 4: Design and Development of Specific Foods, Packaging Systems, and Food Safety</t>
  </si>
  <si>
    <t>O.58</t>
  </si>
  <si>
    <t>9781774638552</t>
  </si>
  <si>
    <t>Sharma, Monika; Goyal, Megh R.; Birwal, Preeti</t>
  </si>
  <si>
    <t>Handbook of Research on Food Processing and Preservation Technologies: Volume 5: Emerging Techniques for Food Processing, Quality, and Safety Assurance</t>
  </si>
  <si>
    <t>O.59</t>
  </si>
  <si>
    <t>9798214129426</t>
  </si>
  <si>
    <t>Marotz, Lynn</t>
  </si>
  <si>
    <t>Health, Safety, and Nutrition for the Young Child, Cengage International Edition</t>
  </si>
  <si>
    <t>O.60</t>
  </si>
  <si>
    <t>9781032755960</t>
  </si>
  <si>
    <t>Ul Islam, Rayees; Manzoor, Arshied; Azad, Z. R. Azaz Ahmad</t>
  </si>
  <si>
    <t>Innovative Food Processing Techniques: Enhancing Safety, Quality, and Shelf Life</t>
  </si>
  <si>
    <t>O.61</t>
  </si>
  <si>
    <t>9780323996303</t>
  </si>
  <si>
    <t>Knoerzer, Kai; Juliano, Pablo; Smithers, Geoffrey W</t>
  </si>
  <si>
    <t>Innovative Food Processing Technologies: Extraction, Separation, Component Modification and Process Intensification</t>
  </si>
  <si>
    <t>O.62</t>
  </si>
  <si>
    <t>9781032599274</t>
  </si>
  <si>
    <t>Sarkar, Anwesa; Dash, Kshirod Kumar</t>
  </si>
  <si>
    <t>Integrated Food and Bioprocess Engineering</t>
  </si>
  <si>
    <t>O.63</t>
  </si>
  <si>
    <t>9781032842721</t>
  </si>
  <si>
    <t>Leyse Wallace, Ruth</t>
  </si>
  <si>
    <t>Integrating Nutrition Into Mental Health Care</t>
  </si>
  <si>
    <t>O.64</t>
  </si>
  <si>
    <t>9780443153884</t>
  </si>
  <si>
    <t>Trif, Monica; Bangar, Sneh Punia</t>
  </si>
  <si>
    <t>Intelligent Packaging: Current Technologies and Applications</t>
  </si>
  <si>
    <t>O.65</t>
  </si>
  <si>
    <t>9783031535604</t>
  </si>
  <si>
    <t>Kontogiorgos, Vassilis</t>
  </si>
  <si>
    <t>Introduction to Food Chemistry</t>
  </si>
  <si>
    <t>O.66</t>
  </si>
  <si>
    <t>9780128231296</t>
  </si>
  <si>
    <t>Singh, R. Paul; Heldman, Dennis R.; Erdogdu, Ferruh</t>
  </si>
  <si>
    <t>Introduction to Food Engineering</t>
  </si>
  <si>
    <t>O.67</t>
  </si>
  <si>
    <t>9781118765852</t>
  </si>
  <si>
    <t>Omary, Maria Botero; Rosentrater, Kurt A.</t>
  </si>
  <si>
    <t>Introduction to Food Packaging</t>
  </si>
  <si>
    <t>O.68</t>
  </si>
  <si>
    <t>9781284264432</t>
  </si>
  <si>
    <t>Tucker, Katherine L.; Duggan, Christopher P.; Jensen, Gordon L.; Peterson, Karen E.</t>
  </si>
  <si>
    <t>Modern Nutrition in Health and Disease</t>
  </si>
  <si>
    <t>O.69</t>
  </si>
  <si>
    <t>9780367740672</t>
  </si>
  <si>
    <t>Molecular Food Microbiology</t>
  </si>
  <si>
    <t>O.70</t>
  </si>
  <si>
    <t>9780367642938</t>
  </si>
  <si>
    <t>Dhull, Sanju Bala; Chawla, Prince; Kaushik, Ravinder</t>
  </si>
  <si>
    <t>Nanotechnological Approaches in Food Microbiology</t>
  </si>
  <si>
    <t>O.71</t>
  </si>
  <si>
    <t>9781394185863</t>
  </si>
  <si>
    <t>Prakash, Anand; Kuila, Arindam</t>
  </si>
  <si>
    <t>Nonthermal Food Processing, Safety, and Preservation</t>
  </si>
  <si>
    <t>O.72</t>
  </si>
  <si>
    <t>9780357973899</t>
  </si>
  <si>
    <t>DeBruyne, Linda; DeBruyne, Linda; Pinna, Kathryn; Clark, Alena; Nichols, Amy</t>
  </si>
  <si>
    <t>Nutrition &amp; Diet Therapy</t>
  </si>
  <si>
    <t>O.73</t>
  </si>
  <si>
    <t>9781032718859</t>
  </si>
  <si>
    <t>Oladiji, Adenike Temidayo; Oladele, Johnson Olaleye; Ajayi, Ebenezer I. O.</t>
  </si>
  <si>
    <t>Nutrition and Diet in Health: Principles and Applications</t>
  </si>
  <si>
    <t>O.74</t>
  </si>
  <si>
    <t>O.75</t>
  </si>
  <si>
    <t>9781032244433</t>
  </si>
  <si>
    <t>Jarrett, R. J.</t>
  </si>
  <si>
    <t>Nutrition and Disease</t>
  </si>
  <si>
    <t>O.76</t>
  </si>
  <si>
    <t>9781119840237</t>
  </si>
  <si>
    <t>Roche, Helen M.; Macdonald, Ian A.; Schols, Annemie M. W. J.; Lanham-New, Susan A.</t>
  </si>
  <si>
    <t>Nutrition and Metabolism</t>
  </si>
  <si>
    <t>Wiley-Blackwell</t>
  </si>
  <si>
    <t>O.77</t>
  </si>
  <si>
    <t>9789819726837</t>
  </si>
  <si>
    <t>Mohamed, Wael; Kobeissy, Firas</t>
  </si>
  <si>
    <t>Nutrition and Psychiatric Disorders: An Evidence-Based Approach to Understanding the Diet-Brain Connection</t>
  </si>
  <si>
    <t>O.78</t>
  </si>
  <si>
    <t>9798214192857</t>
  </si>
  <si>
    <t>Bauer, Kathleen; Liou, Doreen</t>
  </si>
  <si>
    <t>Nutrition Counseling &amp; Education Skill Development</t>
  </si>
  <si>
    <t>O.79</t>
  </si>
  <si>
    <t>9781284299489</t>
  </si>
  <si>
    <t>Contento, Isobel R.; Koch, Pamela A</t>
  </si>
  <si>
    <t>Nutrition Education: Linking Research, Theory, and Practice</t>
  </si>
  <si>
    <t>O.80</t>
  </si>
  <si>
    <t>9781032342719</t>
  </si>
  <si>
    <t>Forsyth, Adrienne; Mantzioris, Evangeline; Belski, Regina</t>
  </si>
  <si>
    <t>Nutrition for Sport, Exercise, and Performance: Science and Application</t>
  </si>
  <si>
    <t>O.81</t>
  </si>
  <si>
    <t>9798214446165</t>
  </si>
  <si>
    <t>Nelms, Marcia; Roberts, Kristen</t>
  </si>
  <si>
    <t>Nutrition Therapy &amp; Pathophysiology, Cengage International Edition</t>
  </si>
  <si>
    <t>O.82</t>
  </si>
  <si>
    <t>9781119889410</t>
  </si>
  <si>
    <t>Smolin, Lori A.; Grosvenor, Mary B.</t>
  </si>
  <si>
    <t>Nutrition: Science and Applications, International Adaptation</t>
  </si>
  <si>
    <t>O.83</t>
  </si>
  <si>
    <t>9780128197691</t>
  </si>
  <si>
    <t>Jafari, Seid Mahdi; Zhang, Wanli</t>
  </si>
  <si>
    <t>Packaging Operations in the Food Industry: Unit Operations and Processing Equipment in the Food Industry</t>
  </si>
  <si>
    <t>O.84</t>
  </si>
  <si>
    <t>O.85</t>
  </si>
  <si>
    <t>9781789451252</t>
  </si>
  <si>
    <t>Benezech, Thierry; Faille, Christine</t>
  </si>
  <si>
    <t>Prevention of the Biological Contamination of Food: Processing/Distribution and Consumer Usage</t>
  </si>
  <si>
    <t>ISTE Ltd</t>
  </si>
  <si>
    <t>O.86</t>
  </si>
  <si>
    <t>9781774637425</t>
  </si>
  <si>
    <t>Torre, Leonardo Sepulveda; Aguilar, Cristobal Noe; Kannan, Porteen; Haghi, A. K.</t>
  </si>
  <si>
    <t>Quantitative Methods and Analytical Techniques in Food Microbiology: Challenges and Health Implications</t>
  </si>
  <si>
    <t>O.87</t>
  </si>
  <si>
    <t>9780443247682</t>
  </si>
  <si>
    <t>Jaiswal, Swarna; Bahmid, Nur Alim; Jaiswal, Amit K.</t>
  </si>
  <si>
    <t>Safety and Sustainability Aspects of Food Packaging</t>
  </si>
  <si>
    <t>O.88</t>
  </si>
  <si>
    <t>9780367550370</t>
  </si>
  <si>
    <t>Dar, Basharat Nabi; Shah, Manzoor Ahmad; Mir, Shabir Ahmad</t>
  </si>
  <si>
    <t>Shelf Life and Food Safety</t>
  </si>
  <si>
    <t>O.89</t>
  </si>
  <si>
    <t>9781032138411</t>
  </si>
  <si>
    <t>Lopes, Eduardo Jacob; Zepka, Leila Queiroz; Depra, Mariany Costa</t>
  </si>
  <si>
    <t>Smart Food Industry: The Blockchain for Sustainable Engineering: Fundamentals, Technologies, and Management, Volume 1</t>
  </si>
  <si>
    <t>O.90</t>
  </si>
  <si>
    <t>9781032138664</t>
  </si>
  <si>
    <t>Smart Food Industry: The Blockchain for Sustainable Engineering: Volume II - Current Status, Future Foods, and Global Issues</t>
  </si>
  <si>
    <t>O.91</t>
  </si>
  <si>
    <t>9780443313561</t>
  </si>
  <si>
    <t>Lu, Xiaonan</t>
  </si>
  <si>
    <t>Smart Food Safety: Volume 111</t>
  </si>
  <si>
    <t>O.92</t>
  </si>
  <si>
    <t>9781774917299</t>
  </si>
  <si>
    <t>Buenrostro-Figueroa, Jose Juan; Tafolla-Arellano, Julio Cesar; Torre, Leonardo Sepulveda; Kannan, Porteen; Haghi, A. K.</t>
  </si>
  <si>
    <t>Sustainable Agricultural and Food Systems Engineering: New Research, Practices, and Developments</t>
  </si>
  <si>
    <t>O.93</t>
  </si>
  <si>
    <t>9781032917146</t>
  </si>
  <si>
    <t>Bangar, Sneh Punia; Dunno, Kyle D.; Whiteside, William Scott</t>
  </si>
  <si>
    <t>Sustainable Biomaterials for Food Packaging</t>
  </si>
  <si>
    <t>O.94</t>
  </si>
  <si>
    <t>9798214446189</t>
  </si>
  <si>
    <t>Rolfes, Sharon Rady; Pinna, Kathryn; Whitney, Ellie; Koness, Kimberly</t>
  </si>
  <si>
    <t>Understanding Normal &amp; Clinical Nutrition, International Student Edition</t>
  </si>
  <si>
    <t>O.95</t>
  </si>
  <si>
    <t>9780357974278</t>
  </si>
  <si>
    <t>Whitney, Ellie; Rolfes, Sharon; Maier, Haiyan</t>
  </si>
  <si>
    <t>Understanding Nutrition</t>
  </si>
  <si>
    <t>O.96</t>
  </si>
  <si>
    <t>9780443123641</t>
  </si>
  <si>
    <t>Nix, Staci</t>
  </si>
  <si>
    <t>Williams' Basic Nutrition &amp; Diet Therapy</t>
  </si>
  <si>
    <t>Total FOB NGN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</si>
</sst>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[Red]#,##0.00"/>
  </numFmts>
  <fonts count="25">
    <font>
      <sz val="11"/>
      <color theme="1"/>
      <name val="Calibri"/>
      <charset val="134"/>
      <scheme val="minor"/>
    </font>
    <font>
      <b/>
      <sz val="9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center" vertical="top" wrapText="1"/>
    </xf>
    <xf numFmtId="49" fontId="2" fillId="0" borderId="2" xfId="0" applyNumberFormat="1" applyFont="1" applyFill="1" applyBorder="1" applyAlignment="1">
      <alignment vertical="top" wrapText="1"/>
    </xf>
    <xf numFmtId="49" fontId="1" fillId="0" borderId="2" xfId="0" applyNumberFormat="1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49" fontId="2" fillId="0" borderId="3" xfId="0" applyNumberFormat="1" applyFont="1" applyFill="1" applyBorder="1" applyAlignment="1">
      <alignment vertical="top" wrapText="1"/>
    </xf>
    <xf numFmtId="49" fontId="1" fillId="0" borderId="3" xfId="0" applyNumberFormat="1" applyFont="1" applyFill="1" applyBorder="1" applyAlignment="1">
      <alignment vertical="top" wrapText="1"/>
    </xf>
    <xf numFmtId="49" fontId="2" fillId="0" borderId="3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" fontId="2" fillId="0" borderId="2" xfId="0" applyNumberFormat="1" applyFont="1" applyFill="1" applyBorder="1" applyAlignment="1">
      <alignment horizontal="center" vertical="top" wrapText="1"/>
    </xf>
    <xf numFmtId="0" fontId="0" fillId="0" borderId="2" xfId="0" applyBorder="1"/>
    <xf numFmtId="3" fontId="2" fillId="0" borderId="3" xfId="0" applyNumberFormat="1" applyFont="1" applyFill="1" applyBorder="1" applyAlignment="1">
      <alignment horizontal="center" vertical="top" wrapText="1"/>
    </xf>
    <xf numFmtId="0" fontId="0" fillId="0" borderId="3" xfId="0" applyBorder="1"/>
    <xf numFmtId="178" fontId="3" fillId="0" borderId="3" xfId="0" applyNumberFormat="1" applyFont="1" applyBorder="1" applyAlignment="1">
      <alignment vertical="top"/>
    </xf>
    <xf numFmtId="3" fontId="1" fillId="0" borderId="3" xfId="0" applyNumberFormat="1" applyFont="1" applyFill="1" applyBorder="1" applyAlignment="1">
      <alignment horizontal="center" vertical="top" wrapText="1"/>
    </xf>
    <xf numFmtId="178" fontId="4" fillId="0" borderId="3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USER\Downloads\WORK-2026\MTU 2026\MTU @ 2000+30% (29.01.26)\SAFAR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S"/>
      <sheetName val="Detail"/>
    </sheetNames>
    <sheetDataSet>
      <sheetData sheetId="0" refreshError="1"/>
      <sheetData sheetId="1">
        <row r="4">
          <cell r="I4">
            <v>1</v>
          </cell>
        </row>
        <row r="4">
          <cell r="M4">
            <v>163840</v>
          </cell>
          <cell r="N4">
            <v>49152</v>
          </cell>
        </row>
        <row r="5">
          <cell r="I5">
            <v>1</v>
          </cell>
        </row>
        <row r="5">
          <cell r="M5">
            <v>185500</v>
          </cell>
          <cell r="N5">
            <v>55650</v>
          </cell>
        </row>
        <row r="6">
          <cell r="I6">
            <v>1</v>
          </cell>
        </row>
        <row r="6">
          <cell r="M6">
            <v>185500</v>
          </cell>
          <cell r="N6">
            <v>55650</v>
          </cell>
        </row>
        <row r="7">
          <cell r="I7">
            <v>1</v>
          </cell>
        </row>
        <row r="7">
          <cell r="M7">
            <v>332200</v>
          </cell>
          <cell r="N7">
            <v>99660</v>
          </cell>
        </row>
        <row r="8">
          <cell r="I8">
            <v>1</v>
          </cell>
        </row>
        <row r="8">
          <cell r="M8">
            <v>252340</v>
          </cell>
          <cell r="N8">
            <v>75702</v>
          </cell>
        </row>
        <row r="9">
          <cell r="I9">
            <v>1</v>
          </cell>
        </row>
        <row r="9">
          <cell r="M9">
            <v>303480</v>
          </cell>
          <cell r="N9">
            <v>91044</v>
          </cell>
        </row>
        <row r="10">
          <cell r="I10">
            <v>1</v>
          </cell>
        </row>
        <row r="10">
          <cell r="M10">
            <v>240280</v>
          </cell>
          <cell r="N10">
            <v>72084</v>
          </cell>
        </row>
        <row r="11">
          <cell r="I11">
            <v>1</v>
          </cell>
        </row>
        <row r="11">
          <cell r="M11">
            <v>252340</v>
          </cell>
          <cell r="N11">
            <v>75702</v>
          </cell>
        </row>
        <row r="12">
          <cell r="I12">
            <v>1</v>
          </cell>
        </row>
        <row r="12">
          <cell r="M12">
            <v>124840</v>
          </cell>
          <cell r="N12">
            <v>37452</v>
          </cell>
        </row>
        <row r="13">
          <cell r="I13">
            <v>1</v>
          </cell>
        </row>
        <row r="13">
          <cell r="M13">
            <v>173900</v>
          </cell>
          <cell r="N13">
            <v>52170</v>
          </cell>
        </row>
        <row r="14">
          <cell r="I14">
            <v>1</v>
          </cell>
        </row>
        <row r="14">
          <cell r="M14">
            <v>112600</v>
          </cell>
          <cell r="N14">
            <v>33780</v>
          </cell>
        </row>
        <row r="15">
          <cell r="I15">
            <v>1</v>
          </cell>
        </row>
        <row r="15">
          <cell r="M15">
            <v>259880</v>
          </cell>
          <cell r="N15">
            <v>77964</v>
          </cell>
        </row>
        <row r="16">
          <cell r="I16">
            <v>1</v>
          </cell>
        </row>
        <row r="16">
          <cell r="M16">
            <v>68340</v>
          </cell>
          <cell r="N16">
            <v>20502</v>
          </cell>
        </row>
        <row r="17">
          <cell r="I17">
            <v>1</v>
          </cell>
        </row>
        <row r="17">
          <cell r="M17">
            <v>354980</v>
          </cell>
          <cell r="N17">
            <v>106494</v>
          </cell>
        </row>
        <row r="18">
          <cell r="I18">
            <v>1</v>
          </cell>
        </row>
        <row r="18">
          <cell r="M18">
            <v>169480</v>
          </cell>
          <cell r="N18">
            <v>50844</v>
          </cell>
        </row>
        <row r="19">
          <cell r="I19">
            <v>1</v>
          </cell>
        </row>
        <row r="19">
          <cell r="M19">
            <v>235020</v>
          </cell>
          <cell r="N19">
            <v>70506</v>
          </cell>
        </row>
        <row r="20">
          <cell r="I20">
            <v>1</v>
          </cell>
        </row>
        <row r="20">
          <cell r="M20">
            <v>111660</v>
          </cell>
          <cell r="N20">
            <v>33498</v>
          </cell>
        </row>
        <row r="21">
          <cell r="I21">
            <v>1</v>
          </cell>
        </row>
        <row r="21">
          <cell r="M21">
            <v>267400</v>
          </cell>
          <cell r="N21">
            <v>80220</v>
          </cell>
        </row>
        <row r="22">
          <cell r="I22">
            <v>1</v>
          </cell>
        </row>
        <row r="22">
          <cell r="M22">
            <v>354980</v>
          </cell>
          <cell r="N22">
            <v>106494</v>
          </cell>
        </row>
        <row r="23">
          <cell r="I23">
            <v>1</v>
          </cell>
        </row>
        <row r="23">
          <cell r="M23">
            <v>338980</v>
          </cell>
          <cell r="N23">
            <v>101694</v>
          </cell>
        </row>
        <row r="24">
          <cell r="I24">
            <v>1</v>
          </cell>
        </row>
        <row r="24">
          <cell r="M24">
            <v>655340</v>
          </cell>
          <cell r="N24">
            <v>196602</v>
          </cell>
        </row>
        <row r="25">
          <cell r="I25">
            <v>1</v>
          </cell>
        </row>
        <row r="25">
          <cell r="M25">
            <v>203360</v>
          </cell>
          <cell r="N25">
            <v>61008</v>
          </cell>
        </row>
        <row r="26">
          <cell r="I26">
            <v>1</v>
          </cell>
        </row>
        <row r="26">
          <cell r="M26">
            <v>644040</v>
          </cell>
          <cell r="N26">
            <v>193212</v>
          </cell>
        </row>
        <row r="27">
          <cell r="I27">
            <v>1</v>
          </cell>
        </row>
        <row r="27">
          <cell r="M27">
            <v>66880</v>
          </cell>
          <cell r="N27">
            <v>20064</v>
          </cell>
        </row>
        <row r="28">
          <cell r="I28">
            <v>1</v>
          </cell>
        </row>
        <row r="28">
          <cell r="M28">
            <v>105260</v>
          </cell>
          <cell r="N28">
            <v>31578</v>
          </cell>
        </row>
        <row r="29">
          <cell r="I29">
            <v>1</v>
          </cell>
        </row>
        <row r="29">
          <cell r="M29">
            <v>406760</v>
          </cell>
          <cell r="N29">
            <v>122028</v>
          </cell>
        </row>
        <row r="30">
          <cell r="I30">
            <v>1</v>
          </cell>
        </row>
        <row r="30">
          <cell r="M30">
            <v>384160</v>
          </cell>
          <cell r="N30">
            <v>115248</v>
          </cell>
        </row>
        <row r="31">
          <cell r="I31">
            <v>1</v>
          </cell>
        </row>
        <row r="31">
          <cell r="M31">
            <v>113920</v>
          </cell>
          <cell r="N31">
            <v>34176</v>
          </cell>
        </row>
        <row r="32">
          <cell r="I32">
            <v>1</v>
          </cell>
        </row>
        <row r="32">
          <cell r="M32">
            <v>167780</v>
          </cell>
          <cell r="N32">
            <v>50334</v>
          </cell>
        </row>
        <row r="33">
          <cell r="I33">
            <v>1</v>
          </cell>
        </row>
        <row r="33">
          <cell r="M33">
            <v>259860</v>
          </cell>
          <cell r="N33">
            <v>77958</v>
          </cell>
        </row>
        <row r="34">
          <cell r="I34">
            <v>1</v>
          </cell>
        </row>
        <row r="34">
          <cell r="M34">
            <v>293780</v>
          </cell>
          <cell r="N34">
            <v>88134</v>
          </cell>
        </row>
        <row r="35">
          <cell r="I35">
            <v>1</v>
          </cell>
        </row>
        <row r="35">
          <cell r="M35">
            <v>395460</v>
          </cell>
          <cell r="N35">
            <v>118638</v>
          </cell>
        </row>
        <row r="36">
          <cell r="I36">
            <v>1</v>
          </cell>
        </row>
        <row r="36">
          <cell r="M36">
            <v>227840</v>
          </cell>
          <cell r="N36">
            <v>68352</v>
          </cell>
        </row>
        <row r="37">
          <cell r="I37">
            <v>1</v>
          </cell>
        </row>
        <row r="37">
          <cell r="M37">
            <v>119760</v>
          </cell>
          <cell r="N37">
            <v>35928</v>
          </cell>
        </row>
        <row r="38">
          <cell r="I38">
            <v>1</v>
          </cell>
        </row>
        <row r="38">
          <cell r="M38">
            <v>259880</v>
          </cell>
          <cell r="N38">
            <v>77964</v>
          </cell>
        </row>
        <row r="39">
          <cell r="I39">
            <v>1</v>
          </cell>
        </row>
        <row r="39">
          <cell r="M39">
            <v>149140</v>
          </cell>
          <cell r="N39">
            <v>44742</v>
          </cell>
        </row>
        <row r="40">
          <cell r="I40">
            <v>1</v>
          </cell>
        </row>
        <row r="40">
          <cell r="M40">
            <v>372840</v>
          </cell>
          <cell r="N40">
            <v>111852</v>
          </cell>
        </row>
        <row r="41">
          <cell r="I41">
            <v>1</v>
          </cell>
        </row>
        <row r="41">
          <cell r="M41">
            <v>97920</v>
          </cell>
          <cell r="N41">
            <v>29376</v>
          </cell>
        </row>
        <row r="42">
          <cell r="I42">
            <v>1</v>
          </cell>
        </row>
        <row r="42">
          <cell r="M42">
            <v>406380</v>
          </cell>
          <cell r="N42">
            <v>121914</v>
          </cell>
        </row>
        <row r="43">
          <cell r="I43">
            <v>1</v>
          </cell>
        </row>
        <row r="43">
          <cell r="M43">
            <v>130480</v>
          </cell>
          <cell r="N43">
            <v>39144</v>
          </cell>
        </row>
        <row r="44">
          <cell r="I44">
            <v>1</v>
          </cell>
        </row>
        <row r="44">
          <cell r="M44">
            <v>95700</v>
          </cell>
          <cell r="N44">
            <v>28710</v>
          </cell>
        </row>
        <row r="45">
          <cell r="I45">
            <v>1</v>
          </cell>
        </row>
        <row r="45">
          <cell r="M45">
            <v>52200</v>
          </cell>
          <cell r="N45">
            <v>15660</v>
          </cell>
        </row>
        <row r="46">
          <cell r="I46">
            <v>1</v>
          </cell>
        </row>
        <row r="46">
          <cell r="M46">
            <v>112980</v>
          </cell>
          <cell r="N46">
            <v>33894</v>
          </cell>
        </row>
        <row r="47">
          <cell r="I47">
            <v>1</v>
          </cell>
        </row>
        <row r="47">
          <cell r="M47">
            <v>109600</v>
          </cell>
          <cell r="N47">
            <v>32880</v>
          </cell>
        </row>
        <row r="48">
          <cell r="I48">
            <v>1</v>
          </cell>
        </row>
        <row r="48">
          <cell r="M48">
            <v>144980</v>
          </cell>
          <cell r="N48">
            <v>43494</v>
          </cell>
        </row>
        <row r="51">
          <cell r="I51">
            <v>1</v>
          </cell>
        </row>
        <row r="51">
          <cell r="M51">
            <v>248560</v>
          </cell>
          <cell r="N51">
            <v>74568</v>
          </cell>
        </row>
        <row r="52">
          <cell r="I52">
            <v>1</v>
          </cell>
        </row>
        <row r="52">
          <cell r="M52">
            <v>354980</v>
          </cell>
          <cell r="N52">
            <v>106494</v>
          </cell>
        </row>
        <row r="53">
          <cell r="I53">
            <v>1</v>
          </cell>
        </row>
        <row r="53">
          <cell r="M53">
            <v>134640</v>
          </cell>
          <cell r="N53">
            <v>40392</v>
          </cell>
        </row>
        <row r="54">
          <cell r="I54">
            <v>1</v>
          </cell>
        </row>
        <row r="54">
          <cell r="M54">
            <v>134640</v>
          </cell>
          <cell r="N54">
            <v>40392</v>
          </cell>
        </row>
        <row r="55">
          <cell r="I55">
            <v>1</v>
          </cell>
        </row>
        <row r="55">
          <cell r="M55">
            <v>112980</v>
          </cell>
          <cell r="N55">
            <v>33894</v>
          </cell>
        </row>
        <row r="56">
          <cell r="I56">
            <v>1</v>
          </cell>
        </row>
        <row r="56">
          <cell r="M56">
            <v>124280</v>
          </cell>
          <cell r="N56">
            <v>37284</v>
          </cell>
        </row>
        <row r="57">
          <cell r="I57">
            <v>1</v>
          </cell>
        </row>
        <row r="57">
          <cell r="M57">
            <v>151600</v>
          </cell>
          <cell r="N57">
            <v>45480</v>
          </cell>
        </row>
        <row r="58">
          <cell r="I58">
            <v>1</v>
          </cell>
        </row>
        <row r="58">
          <cell r="M58">
            <v>289980</v>
          </cell>
          <cell r="N58">
            <v>86994</v>
          </cell>
        </row>
        <row r="59">
          <cell r="I59">
            <v>1</v>
          </cell>
        </row>
        <row r="59">
          <cell r="M59">
            <v>372860</v>
          </cell>
          <cell r="N59">
            <v>111858</v>
          </cell>
        </row>
        <row r="60">
          <cell r="I60">
            <v>1</v>
          </cell>
        </row>
        <row r="60">
          <cell r="M60">
            <v>109780</v>
          </cell>
          <cell r="N60">
            <v>32934</v>
          </cell>
        </row>
        <row r="61">
          <cell r="I61">
            <v>1</v>
          </cell>
        </row>
        <row r="61">
          <cell r="M61">
            <v>191980</v>
          </cell>
          <cell r="N61">
            <v>57594</v>
          </cell>
        </row>
        <row r="62">
          <cell r="I62">
            <v>1</v>
          </cell>
        </row>
        <row r="62">
          <cell r="M62">
            <v>267400</v>
          </cell>
          <cell r="N62">
            <v>80220</v>
          </cell>
        </row>
        <row r="63">
          <cell r="I63">
            <v>1</v>
          </cell>
        </row>
        <row r="63">
          <cell r="M63">
            <v>47640</v>
          </cell>
          <cell r="N63">
            <v>14292</v>
          </cell>
        </row>
        <row r="64">
          <cell r="I64">
            <v>1</v>
          </cell>
        </row>
        <row r="64">
          <cell r="M64">
            <v>109100</v>
          </cell>
          <cell r="N64">
            <v>32730</v>
          </cell>
        </row>
        <row r="65">
          <cell r="I65">
            <v>1</v>
          </cell>
        </row>
        <row r="65">
          <cell r="M65">
            <v>109100</v>
          </cell>
          <cell r="N65">
            <v>32730</v>
          </cell>
        </row>
        <row r="66">
          <cell r="I66">
            <v>1</v>
          </cell>
        </row>
        <row r="66">
          <cell r="M66">
            <v>95700</v>
          </cell>
          <cell r="N66">
            <v>28710</v>
          </cell>
        </row>
        <row r="67">
          <cell r="I67">
            <v>1</v>
          </cell>
        </row>
        <row r="67">
          <cell r="M67">
            <v>531040</v>
          </cell>
          <cell r="N67">
            <v>159312</v>
          </cell>
        </row>
        <row r="68">
          <cell r="I68">
            <v>1</v>
          </cell>
        </row>
        <row r="68">
          <cell r="M68">
            <v>109100</v>
          </cell>
          <cell r="N68">
            <v>32730</v>
          </cell>
        </row>
        <row r="69">
          <cell r="I69">
            <v>1</v>
          </cell>
        </row>
        <row r="69">
          <cell r="M69">
            <v>151380</v>
          </cell>
          <cell r="N69">
            <v>45414</v>
          </cell>
        </row>
        <row r="70">
          <cell r="I70">
            <v>1</v>
          </cell>
        </row>
        <row r="70">
          <cell r="M70">
            <v>102440</v>
          </cell>
          <cell r="N70">
            <v>30732</v>
          </cell>
        </row>
        <row r="71">
          <cell r="I71">
            <v>1</v>
          </cell>
        </row>
        <row r="71">
          <cell r="M71">
            <v>205640</v>
          </cell>
          <cell r="N71">
            <v>61692</v>
          </cell>
        </row>
        <row r="72">
          <cell r="I72">
            <v>1</v>
          </cell>
        </row>
        <row r="72">
          <cell r="M72">
            <v>248560</v>
          </cell>
          <cell r="N72">
            <v>74568</v>
          </cell>
        </row>
        <row r="73">
          <cell r="I73">
            <v>1</v>
          </cell>
        </row>
        <row r="73">
          <cell r="M73">
            <v>436140</v>
          </cell>
          <cell r="N73">
            <v>130842</v>
          </cell>
        </row>
        <row r="74">
          <cell r="I74">
            <v>1</v>
          </cell>
        </row>
        <row r="74">
          <cell r="M74">
            <v>155340</v>
          </cell>
          <cell r="N74">
            <v>46602</v>
          </cell>
        </row>
        <row r="75">
          <cell r="I75">
            <v>1</v>
          </cell>
        </row>
        <row r="75">
          <cell r="M75">
            <v>72480</v>
          </cell>
          <cell r="N75">
            <v>21744</v>
          </cell>
        </row>
        <row r="76">
          <cell r="I76">
            <v>1</v>
          </cell>
        </row>
        <row r="76">
          <cell r="M76">
            <v>68340</v>
          </cell>
          <cell r="N76">
            <v>20502</v>
          </cell>
        </row>
        <row r="77">
          <cell r="I77">
            <v>1</v>
          </cell>
        </row>
        <row r="77">
          <cell r="M77">
            <v>237280</v>
          </cell>
          <cell r="N77">
            <v>71184</v>
          </cell>
        </row>
        <row r="78">
          <cell r="I78">
            <v>1</v>
          </cell>
        </row>
        <row r="78">
          <cell r="M78">
            <v>225980</v>
          </cell>
          <cell r="N78">
            <v>67794</v>
          </cell>
        </row>
        <row r="79">
          <cell r="I79">
            <v>1</v>
          </cell>
        </row>
        <row r="79">
          <cell r="M79">
            <v>142360</v>
          </cell>
          <cell r="N79">
            <v>42708</v>
          </cell>
        </row>
        <row r="80">
          <cell r="I80">
            <v>1</v>
          </cell>
        </row>
        <row r="80">
          <cell r="M80">
            <v>225880</v>
          </cell>
          <cell r="N80">
            <v>67764</v>
          </cell>
        </row>
        <row r="81">
          <cell r="I81">
            <v>1</v>
          </cell>
        </row>
        <row r="81">
          <cell r="M81">
            <v>372840</v>
          </cell>
          <cell r="N81">
            <v>111852</v>
          </cell>
        </row>
        <row r="82">
          <cell r="I82">
            <v>1</v>
          </cell>
        </row>
        <row r="82">
          <cell r="M82">
            <v>163660</v>
          </cell>
          <cell r="N82">
            <v>49098</v>
          </cell>
        </row>
        <row r="83">
          <cell r="I83">
            <v>1</v>
          </cell>
        </row>
        <row r="83">
          <cell r="M83">
            <v>289980</v>
          </cell>
          <cell r="N83">
            <v>86994</v>
          </cell>
        </row>
        <row r="84">
          <cell r="I84">
            <v>1</v>
          </cell>
        </row>
        <row r="84">
          <cell r="M84">
            <v>169460</v>
          </cell>
          <cell r="N84">
            <v>50838</v>
          </cell>
        </row>
        <row r="85">
          <cell r="I85">
            <v>1</v>
          </cell>
        </row>
        <row r="85">
          <cell r="M85">
            <v>151380</v>
          </cell>
          <cell r="N85">
            <v>45414</v>
          </cell>
        </row>
        <row r="86">
          <cell r="I86">
            <v>1</v>
          </cell>
        </row>
        <row r="86">
          <cell r="M86">
            <v>207140</v>
          </cell>
          <cell r="N86">
            <v>62142</v>
          </cell>
        </row>
        <row r="87">
          <cell r="I87">
            <v>1</v>
          </cell>
        </row>
        <row r="87">
          <cell r="M87">
            <v>119760</v>
          </cell>
          <cell r="N87">
            <v>35928</v>
          </cell>
        </row>
        <row r="88">
          <cell r="I88">
            <v>1</v>
          </cell>
        </row>
        <row r="88">
          <cell r="M88">
            <v>186420</v>
          </cell>
          <cell r="N88">
            <v>55926</v>
          </cell>
        </row>
        <row r="89">
          <cell r="I89">
            <v>1</v>
          </cell>
        </row>
        <row r="89">
          <cell r="M89">
            <v>219180</v>
          </cell>
          <cell r="N89">
            <v>65754</v>
          </cell>
        </row>
        <row r="90">
          <cell r="I90">
            <v>1</v>
          </cell>
        </row>
        <row r="90">
          <cell r="M90">
            <v>227840</v>
          </cell>
          <cell r="N90">
            <v>68352</v>
          </cell>
        </row>
        <row r="91">
          <cell r="I91">
            <v>1</v>
          </cell>
        </row>
        <row r="91">
          <cell r="M91">
            <v>267420</v>
          </cell>
          <cell r="N91">
            <v>80226</v>
          </cell>
        </row>
        <row r="92">
          <cell r="I92">
            <v>1</v>
          </cell>
        </row>
        <row r="92">
          <cell r="M92">
            <v>155340</v>
          </cell>
          <cell r="N92">
            <v>46602</v>
          </cell>
        </row>
        <row r="93">
          <cell r="I93">
            <v>1</v>
          </cell>
        </row>
        <row r="93">
          <cell r="M93">
            <v>327680</v>
          </cell>
          <cell r="N93">
            <v>98304</v>
          </cell>
        </row>
        <row r="94">
          <cell r="I94">
            <v>1</v>
          </cell>
        </row>
        <row r="94">
          <cell r="M94">
            <v>517840</v>
          </cell>
          <cell r="N94">
            <v>155352</v>
          </cell>
        </row>
        <row r="95">
          <cell r="I95">
            <v>1</v>
          </cell>
        </row>
        <row r="95">
          <cell r="M95">
            <v>455700</v>
          </cell>
          <cell r="N95">
            <v>136710</v>
          </cell>
        </row>
        <row r="96">
          <cell r="I96">
            <v>1</v>
          </cell>
        </row>
        <row r="96">
          <cell r="M96">
            <v>517840</v>
          </cell>
          <cell r="N96">
            <v>155352</v>
          </cell>
        </row>
        <row r="97">
          <cell r="I97">
            <v>1</v>
          </cell>
        </row>
        <row r="97">
          <cell r="M97">
            <v>205640</v>
          </cell>
          <cell r="N97">
            <v>61692</v>
          </cell>
        </row>
        <row r="98">
          <cell r="I98">
            <v>1</v>
          </cell>
        </row>
        <row r="98">
          <cell r="M98">
            <v>932140</v>
          </cell>
          <cell r="N98">
            <v>279642</v>
          </cell>
        </row>
        <row r="99">
          <cell r="I99">
            <v>1</v>
          </cell>
        </row>
        <row r="99">
          <cell r="M99">
            <v>109100</v>
          </cell>
          <cell r="N99">
            <v>32730</v>
          </cell>
        </row>
        <row r="100">
          <cell r="I100">
            <v>1</v>
          </cell>
        </row>
        <row r="100">
          <cell r="M100">
            <v>291880</v>
          </cell>
          <cell r="N100">
            <v>87564</v>
          </cell>
        </row>
        <row r="101">
          <cell r="I101">
            <v>1</v>
          </cell>
        </row>
        <row r="101">
          <cell r="M101">
            <v>487180</v>
          </cell>
          <cell r="N101">
            <v>146154</v>
          </cell>
        </row>
        <row r="102">
          <cell r="I102">
            <v>1</v>
          </cell>
        </row>
        <row r="102">
          <cell r="M102">
            <v>186420</v>
          </cell>
          <cell r="N102">
            <v>55926</v>
          </cell>
        </row>
        <row r="103">
          <cell r="I103">
            <v>1</v>
          </cell>
        </row>
        <row r="103">
          <cell r="M103">
            <v>124280</v>
          </cell>
          <cell r="N103">
            <v>37284</v>
          </cell>
        </row>
        <row r="104">
          <cell r="I104">
            <v>1</v>
          </cell>
        </row>
        <row r="104">
          <cell r="M104">
            <v>267400</v>
          </cell>
          <cell r="N104">
            <v>80220</v>
          </cell>
        </row>
        <row r="105">
          <cell r="I105">
            <v>1</v>
          </cell>
        </row>
        <row r="105">
          <cell r="M105">
            <v>164940</v>
          </cell>
          <cell r="N105">
            <v>49482</v>
          </cell>
        </row>
        <row r="106">
          <cell r="I106">
            <v>1</v>
          </cell>
        </row>
        <row r="106">
          <cell r="M106">
            <v>203280</v>
          </cell>
          <cell r="N106">
            <v>60984</v>
          </cell>
        </row>
        <row r="107">
          <cell r="I107">
            <v>1</v>
          </cell>
        </row>
        <row r="107">
          <cell r="M107">
            <v>20700</v>
          </cell>
          <cell r="N107">
            <v>6210</v>
          </cell>
        </row>
        <row r="108">
          <cell r="I108">
            <v>1</v>
          </cell>
        </row>
        <row r="108">
          <cell r="M108">
            <v>227860</v>
          </cell>
          <cell r="N108">
            <v>68358</v>
          </cell>
        </row>
        <row r="109">
          <cell r="I109">
            <v>1</v>
          </cell>
        </row>
        <row r="109">
          <cell r="M109">
            <v>248560</v>
          </cell>
          <cell r="N109">
            <v>74568</v>
          </cell>
        </row>
        <row r="110">
          <cell r="I110">
            <v>1</v>
          </cell>
        </row>
        <row r="110">
          <cell r="M110">
            <v>271180</v>
          </cell>
          <cell r="N110">
            <v>81354</v>
          </cell>
        </row>
        <row r="111">
          <cell r="I111">
            <v>1</v>
          </cell>
        </row>
        <row r="111">
          <cell r="M111">
            <v>282480</v>
          </cell>
          <cell r="N111">
            <v>84744</v>
          </cell>
        </row>
        <row r="112">
          <cell r="I112">
            <v>1</v>
          </cell>
        </row>
        <row r="112">
          <cell r="M112">
            <v>248560</v>
          </cell>
          <cell r="N112">
            <v>74568</v>
          </cell>
        </row>
        <row r="113">
          <cell r="I113">
            <v>1</v>
          </cell>
        </row>
        <row r="113">
          <cell r="M113">
            <v>372840</v>
          </cell>
          <cell r="N113">
            <v>111852</v>
          </cell>
        </row>
        <row r="114">
          <cell r="I114">
            <v>1</v>
          </cell>
        </row>
        <row r="114">
          <cell r="M114">
            <v>331420</v>
          </cell>
          <cell r="N114">
            <v>99426</v>
          </cell>
        </row>
        <row r="115">
          <cell r="I115">
            <v>1</v>
          </cell>
        </row>
        <row r="115">
          <cell r="M115">
            <v>259860</v>
          </cell>
          <cell r="N115">
            <v>77958</v>
          </cell>
        </row>
        <row r="116">
          <cell r="I116">
            <v>1</v>
          </cell>
        </row>
        <row r="116">
          <cell r="M116">
            <v>158160</v>
          </cell>
          <cell r="N116">
            <v>47448</v>
          </cell>
        </row>
        <row r="117">
          <cell r="I117">
            <v>1</v>
          </cell>
        </row>
        <row r="117">
          <cell r="M117">
            <v>99420</v>
          </cell>
          <cell r="N117">
            <v>29826</v>
          </cell>
        </row>
        <row r="118">
          <cell r="I118">
            <v>1</v>
          </cell>
        </row>
        <row r="118">
          <cell r="M118">
            <v>216560</v>
          </cell>
          <cell r="N118">
            <v>64968</v>
          </cell>
        </row>
        <row r="119">
          <cell r="I119">
            <v>1</v>
          </cell>
        </row>
        <row r="119">
          <cell r="M119">
            <v>51780</v>
          </cell>
          <cell r="N119">
            <v>15534</v>
          </cell>
        </row>
        <row r="120">
          <cell r="I120">
            <v>1</v>
          </cell>
        </row>
        <row r="120">
          <cell r="M120">
            <v>372840</v>
          </cell>
          <cell r="N120">
            <v>111852</v>
          </cell>
        </row>
        <row r="121">
          <cell r="I121">
            <v>1</v>
          </cell>
        </row>
        <row r="121">
          <cell r="M121">
            <v>169460</v>
          </cell>
          <cell r="N121">
            <v>50838</v>
          </cell>
        </row>
        <row r="122">
          <cell r="I122">
            <v>1</v>
          </cell>
        </row>
        <row r="122">
          <cell r="M122">
            <v>108460</v>
          </cell>
          <cell r="N122">
            <v>32538</v>
          </cell>
        </row>
        <row r="123">
          <cell r="I123">
            <v>1</v>
          </cell>
        </row>
        <row r="123">
          <cell r="M123">
            <v>108460</v>
          </cell>
          <cell r="N123">
            <v>32538</v>
          </cell>
        </row>
        <row r="124">
          <cell r="I124">
            <v>1</v>
          </cell>
        </row>
        <row r="124">
          <cell r="M124">
            <v>463260</v>
          </cell>
          <cell r="N124">
            <v>138978</v>
          </cell>
        </row>
        <row r="125">
          <cell r="I125">
            <v>1</v>
          </cell>
        </row>
        <row r="125">
          <cell r="M125">
            <v>119760</v>
          </cell>
          <cell r="N125">
            <v>35928</v>
          </cell>
        </row>
        <row r="126">
          <cell r="I126">
            <v>1</v>
          </cell>
        </row>
        <row r="126">
          <cell r="M126">
            <v>82840</v>
          </cell>
          <cell r="N126">
            <v>24852</v>
          </cell>
        </row>
        <row r="127">
          <cell r="I127">
            <v>1</v>
          </cell>
        </row>
        <row r="127">
          <cell r="M127">
            <v>150560</v>
          </cell>
          <cell r="N127">
            <v>45168</v>
          </cell>
        </row>
        <row r="128">
          <cell r="I128">
            <v>1</v>
          </cell>
        </row>
        <row r="128">
          <cell r="M128">
            <v>316380</v>
          </cell>
          <cell r="N128">
            <v>94914</v>
          </cell>
        </row>
        <row r="129">
          <cell r="I129">
            <v>1</v>
          </cell>
        </row>
        <row r="129">
          <cell r="M129">
            <v>271180</v>
          </cell>
          <cell r="N129">
            <v>81354</v>
          </cell>
        </row>
        <row r="130">
          <cell r="I130">
            <v>1</v>
          </cell>
        </row>
        <row r="130">
          <cell r="M130">
            <v>119760</v>
          </cell>
          <cell r="N130">
            <v>35928</v>
          </cell>
        </row>
        <row r="131">
          <cell r="I131">
            <v>1</v>
          </cell>
        </row>
        <row r="131">
          <cell r="M131">
            <v>248560</v>
          </cell>
          <cell r="N131">
            <v>74568</v>
          </cell>
        </row>
        <row r="132">
          <cell r="I132">
            <v>1</v>
          </cell>
        </row>
        <row r="132">
          <cell r="M132">
            <v>51780</v>
          </cell>
          <cell r="N132">
            <v>15534</v>
          </cell>
        </row>
        <row r="133">
          <cell r="I133">
            <v>1</v>
          </cell>
        </row>
        <row r="133">
          <cell r="M133">
            <v>259880</v>
          </cell>
          <cell r="N133">
            <v>77964</v>
          </cell>
        </row>
        <row r="134">
          <cell r="I134">
            <v>1</v>
          </cell>
        </row>
        <row r="134">
          <cell r="M134">
            <v>119760</v>
          </cell>
          <cell r="N134">
            <v>35928</v>
          </cell>
        </row>
        <row r="135">
          <cell r="I135">
            <v>1</v>
          </cell>
        </row>
        <row r="135">
          <cell r="M135">
            <v>97160</v>
          </cell>
          <cell r="N135">
            <v>29148</v>
          </cell>
        </row>
        <row r="136">
          <cell r="I136">
            <v>1</v>
          </cell>
        </row>
        <row r="136">
          <cell r="M136">
            <v>52740</v>
          </cell>
          <cell r="N136">
            <v>15822</v>
          </cell>
        </row>
        <row r="137">
          <cell r="I137">
            <v>1</v>
          </cell>
        </row>
        <row r="137">
          <cell r="M137">
            <v>248560</v>
          </cell>
          <cell r="N137">
            <v>74568</v>
          </cell>
        </row>
        <row r="138">
          <cell r="I138">
            <v>1</v>
          </cell>
        </row>
        <row r="138">
          <cell r="M138">
            <v>227840</v>
          </cell>
          <cell r="N138">
            <v>68352</v>
          </cell>
        </row>
        <row r="139">
          <cell r="I139">
            <v>1</v>
          </cell>
        </row>
        <row r="139">
          <cell r="M139">
            <v>178500</v>
          </cell>
          <cell r="N139">
            <v>53550</v>
          </cell>
        </row>
        <row r="140">
          <cell r="I140">
            <v>1</v>
          </cell>
        </row>
        <row r="140">
          <cell r="M140">
            <v>372840</v>
          </cell>
          <cell r="N140">
            <v>111852</v>
          </cell>
        </row>
        <row r="141">
          <cell r="I141">
            <v>1</v>
          </cell>
        </row>
        <row r="141">
          <cell r="M141">
            <v>414280</v>
          </cell>
          <cell r="N141">
            <v>124284</v>
          </cell>
        </row>
        <row r="142">
          <cell r="I142">
            <v>1</v>
          </cell>
        </row>
        <row r="142">
          <cell r="M142">
            <v>71200</v>
          </cell>
          <cell r="N142">
            <v>21360</v>
          </cell>
        </row>
        <row r="143">
          <cell r="I143">
            <v>1</v>
          </cell>
        </row>
        <row r="143">
          <cell r="M143">
            <v>372840</v>
          </cell>
          <cell r="N143">
            <v>111852</v>
          </cell>
        </row>
        <row r="144">
          <cell r="I144">
            <v>1</v>
          </cell>
        </row>
        <row r="144">
          <cell r="M144">
            <v>144980</v>
          </cell>
          <cell r="N144">
            <v>43494</v>
          </cell>
        </row>
        <row r="145">
          <cell r="I145">
            <v>1</v>
          </cell>
        </row>
        <row r="145">
          <cell r="M145">
            <v>180760</v>
          </cell>
          <cell r="N145">
            <v>54228</v>
          </cell>
        </row>
        <row r="148">
          <cell r="I148">
            <v>1</v>
          </cell>
        </row>
        <row r="148">
          <cell r="M148">
            <v>259880</v>
          </cell>
          <cell r="N148">
            <v>77964</v>
          </cell>
        </row>
        <row r="149">
          <cell r="I149">
            <v>1</v>
          </cell>
        </row>
        <row r="149">
          <cell r="M149">
            <v>210880</v>
          </cell>
          <cell r="N149">
            <v>63264</v>
          </cell>
        </row>
        <row r="150">
          <cell r="I150">
            <v>1</v>
          </cell>
        </row>
        <row r="150">
          <cell r="M150">
            <v>155900</v>
          </cell>
          <cell r="N150">
            <v>46770</v>
          </cell>
        </row>
        <row r="151">
          <cell r="I151">
            <v>1</v>
          </cell>
        </row>
        <row r="151">
          <cell r="M151">
            <v>384160</v>
          </cell>
          <cell r="N151">
            <v>115248</v>
          </cell>
        </row>
        <row r="152">
          <cell r="I152">
            <v>1</v>
          </cell>
        </row>
        <row r="152">
          <cell r="M152">
            <v>142360</v>
          </cell>
          <cell r="N152">
            <v>42708</v>
          </cell>
        </row>
        <row r="153">
          <cell r="I153">
            <v>1</v>
          </cell>
        </row>
        <row r="153">
          <cell r="M153">
            <v>384160</v>
          </cell>
          <cell r="N153">
            <v>115248</v>
          </cell>
        </row>
        <row r="154">
          <cell r="I154">
            <v>1</v>
          </cell>
        </row>
        <row r="154">
          <cell r="M154">
            <v>108460</v>
          </cell>
          <cell r="N154">
            <v>32538</v>
          </cell>
        </row>
        <row r="155">
          <cell r="I155">
            <v>1</v>
          </cell>
        </row>
        <row r="155">
          <cell r="M155">
            <v>144980</v>
          </cell>
          <cell r="N155">
            <v>43494</v>
          </cell>
        </row>
        <row r="156">
          <cell r="I156">
            <v>1</v>
          </cell>
        </row>
        <row r="156">
          <cell r="M156">
            <v>368340</v>
          </cell>
          <cell r="N156">
            <v>110502</v>
          </cell>
        </row>
        <row r="157">
          <cell r="I157">
            <v>1</v>
          </cell>
        </row>
        <row r="157">
          <cell r="M157">
            <v>186420</v>
          </cell>
          <cell r="N157">
            <v>55926</v>
          </cell>
        </row>
        <row r="158">
          <cell r="I158">
            <v>1</v>
          </cell>
        </row>
        <row r="158">
          <cell r="M158">
            <v>108460</v>
          </cell>
          <cell r="N158">
            <v>32538</v>
          </cell>
        </row>
        <row r="159">
          <cell r="I159">
            <v>1</v>
          </cell>
        </row>
        <row r="159">
          <cell r="M159">
            <v>655340</v>
          </cell>
          <cell r="N159">
            <v>196602</v>
          </cell>
        </row>
        <row r="160">
          <cell r="I160">
            <v>1</v>
          </cell>
        </row>
        <row r="160">
          <cell r="M160">
            <v>103560</v>
          </cell>
          <cell r="N160">
            <v>31068</v>
          </cell>
        </row>
        <row r="161">
          <cell r="I161">
            <v>1</v>
          </cell>
        </row>
        <row r="161">
          <cell r="M161">
            <v>389420</v>
          </cell>
          <cell r="N161">
            <v>116826</v>
          </cell>
        </row>
        <row r="162">
          <cell r="I162">
            <v>1</v>
          </cell>
        </row>
        <row r="162">
          <cell r="M162">
            <v>110720</v>
          </cell>
          <cell r="N162">
            <v>33216</v>
          </cell>
        </row>
        <row r="163">
          <cell r="I163">
            <v>1</v>
          </cell>
        </row>
        <row r="163">
          <cell r="M163">
            <v>214300</v>
          </cell>
          <cell r="N163">
            <v>64290</v>
          </cell>
        </row>
        <row r="164">
          <cell r="I164">
            <v>1</v>
          </cell>
        </row>
        <row r="164">
          <cell r="M164">
            <v>187540</v>
          </cell>
          <cell r="N164">
            <v>56262</v>
          </cell>
        </row>
        <row r="165">
          <cell r="I165">
            <v>1</v>
          </cell>
        </row>
        <row r="165">
          <cell r="M165">
            <v>327680</v>
          </cell>
          <cell r="N165">
            <v>98304</v>
          </cell>
        </row>
        <row r="166">
          <cell r="I166">
            <v>1</v>
          </cell>
        </row>
        <row r="166">
          <cell r="M166">
            <v>293780</v>
          </cell>
          <cell r="N166">
            <v>88134</v>
          </cell>
        </row>
        <row r="167">
          <cell r="I167">
            <v>1</v>
          </cell>
        </row>
        <row r="167">
          <cell r="M167">
            <v>463260</v>
          </cell>
          <cell r="N167">
            <v>138978</v>
          </cell>
        </row>
        <row r="168">
          <cell r="I168">
            <v>1</v>
          </cell>
        </row>
        <row r="168">
          <cell r="M168">
            <v>376860</v>
          </cell>
          <cell r="N168">
            <v>113058</v>
          </cell>
        </row>
        <row r="169">
          <cell r="I169">
            <v>1</v>
          </cell>
        </row>
        <row r="169">
          <cell r="M169">
            <v>149160</v>
          </cell>
          <cell r="N169">
            <v>44748</v>
          </cell>
        </row>
        <row r="170">
          <cell r="I170">
            <v>1</v>
          </cell>
        </row>
        <row r="170">
          <cell r="M170">
            <v>470780</v>
          </cell>
          <cell r="N170">
            <v>141234</v>
          </cell>
        </row>
        <row r="171">
          <cell r="I171">
            <v>1</v>
          </cell>
        </row>
        <row r="171">
          <cell r="M171">
            <v>779620</v>
          </cell>
          <cell r="N171">
            <v>233886</v>
          </cell>
        </row>
        <row r="172">
          <cell r="I172">
            <v>1</v>
          </cell>
        </row>
        <row r="172">
          <cell r="M172">
            <v>151220</v>
          </cell>
          <cell r="N172">
            <v>45366</v>
          </cell>
        </row>
        <row r="173">
          <cell r="I173">
            <v>1</v>
          </cell>
        </row>
        <row r="173">
          <cell r="M173">
            <v>117500</v>
          </cell>
          <cell r="N173">
            <v>35250</v>
          </cell>
        </row>
        <row r="174">
          <cell r="I174">
            <v>1</v>
          </cell>
        </row>
        <row r="174">
          <cell r="M174">
            <v>372840</v>
          </cell>
          <cell r="N174">
            <v>111852</v>
          </cell>
        </row>
        <row r="175">
          <cell r="I175">
            <v>1</v>
          </cell>
        </row>
        <row r="175">
          <cell r="M175">
            <v>225980</v>
          </cell>
          <cell r="N175">
            <v>67794</v>
          </cell>
        </row>
        <row r="176">
          <cell r="I176">
            <v>1</v>
          </cell>
        </row>
        <row r="176">
          <cell r="M176">
            <v>225980</v>
          </cell>
          <cell r="N176">
            <v>67794</v>
          </cell>
        </row>
        <row r="177">
          <cell r="I177">
            <v>1</v>
          </cell>
        </row>
        <row r="177">
          <cell r="M177">
            <v>110720</v>
          </cell>
          <cell r="N177">
            <v>33216</v>
          </cell>
        </row>
        <row r="178">
          <cell r="I178">
            <v>1</v>
          </cell>
        </row>
        <row r="178">
          <cell r="M178">
            <v>241680</v>
          </cell>
          <cell r="N178">
            <v>72504</v>
          </cell>
        </row>
        <row r="181">
          <cell r="I181">
            <v>1</v>
          </cell>
        </row>
        <row r="181">
          <cell r="M181">
            <v>248560</v>
          </cell>
          <cell r="N181">
            <v>74568</v>
          </cell>
        </row>
        <row r="182">
          <cell r="I182">
            <v>1</v>
          </cell>
        </row>
        <row r="182">
          <cell r="M182">
            <v>237280</v>
          </cell>
          <cell r="N182">
            <v>71184</v>
          </cell>
        </row>
        <row r="183">
          <cell r="I183">
            <v>1</v>
          </cell>
        </row>
        <row r="183">
          <cell r="M183">
            <v>531040</v>
          </cell>
          <cell r="N183">
            <v>159312</v>
          </cell>
        </row>
        <row r="184">
          <cell r="I184">
            <v>1</v>
          </cell>
        </row>
        <row r="184">
          <cell r="M184">
            <v>126440</v>
          </cell>
          <cell r="N184">
            <v>37932</v>
          </cell>
        </row>
        <row r="185">
          <cell r="I185">
            <v>1</v>
          </cell>
        </row>
        <row r="185">
          <cell r="M185">
            <v>192440</v>
          </cell>
          <cell r="N185">
            <v>57732</v>
          </cell>
        </row>
        <row r="186">
          <cell r="I186">
            <v>1</v>
          </cell>
        </row>
        <row r="186">
          <cell r="M186">
            <v>271180</v>
          </cell>
          <cell r="N186">
            <v>81354</v>
          </cell>
        </row>
        <row r="187">
          <cell r="I187">
            <v>1</v>
          </cell>
        </row>
        <row r="187">
          <cell r="M187">
            <v>124840</v>
          </cell>
          <cell r="N187">
            <v>37452</v>
          </cell>
        </row>
        <row r="188">
          <cell r="I188">
            <v>1</v>
          </cell>
        </row>
        <row r="188">
          <cell r="M188">
            <v>201980</v>
          </cell>
          <cell r="N188">
            <v>60594</v>
          </cell>
        </row>
        <row r="189">
          <cell r="I189">
            <v>1</v>
          </cell>
        </row>
        <row r="189">
          <cell r="M189">
            <v>103560</v>
          </cell>
          <cell r="N189">
            <v>31068</v>
          </cell>
        </row>
        <row r="190">
          <cell r="I190">
            <v>1</v>
          </cell>
        </row>
        <row r="190">
          <cell r="M190">
            <v>384160</v>
          </cell>
          <cell r="N190">
            <v>115248</v>
          </cell>
        </row>
        <row r="191">
          <cell r="I191">
            <v>1</v>
          </cell>
        </row>
        <row r="191">
          <cell r="M191">
            <v>137840</v>
          </cell>
          <cell r="N191">
            <v>41352</v>
          </cell>
        </row>
        <row r="192">
          <cell r="I192">
            <v>1</v>
          </cell>
        </row>
        <row r="192">
          <cell r="M192">
            <v>293780</v>
          </cell>
          <cell r="N192">
            <v>88134</v>
          </cell>
        </row>
        <row r="193">
          <cell r="I193">
            <v>1</v>
          </cell>
        </row>
        <row r="193">
          <cell r="M193">
            <v>149140</v>
          </cell>
          <cell r="N193">
            <v>44742</v>
          </cell>
        </row>
        <row r="194">
          <cell r="I194">
            <v>1</v>
          </cell>
        </row>
        <row r="194">
          <cell r="M194">
            <v>109100</v>
          </cell>
          <cell r="N194">
            <v>32730</v>
          </cell>
        </row>
        <row r="195">
          <cell r="I195">
            <v>1</v>
          </cell>
        </row>
        <row r="195">
          <cell r="M195">
            <v>224100</v>
          </cell>
          <cell r="N195">
            <v>67230</v>
          </cell>
        </row>
        <row r="196">
          <cell r="I196">
            <v>1</v>
          </cell>
        </row>
        <row r="196">
          <cell r="M196">
            <v>109100</v>
          </cell>
          <cell r="N196">
            <v>32730</v>
          </cell>
        </row>
        <row r="197">
          <cell r="I197">
            <v>1</v>
          </cell>
        </row>
        <row r="197">
          <cell r="M197">
            <v>110720</v>
          </cell>
          <cell r="N197">
            <v>33216</v>
          </cell>
        </row>
        <row r="198">
          <cell r="I198">
            <v>1</v>
          </cell>
        </row>
        <row r="198">
          <cell r="M198">
            <v>248560</v>
          </cell>
          <cell r="N198">
            <v>74568</v>
          </cell>
        </row>
        <row r="199">
          <cell r="I199">
            <v>1</v>
          </cell>
        </row>
        <row r="199">
          <cell r="M199">
            <v>179660</v>
          </cell>
          <cell r="N199">
            <v>53898</v>
          </cell>
        </row>
        <row r="200">
          <cell r="I200">
            <v>1</v>
          </cell>
        </row>
        <row r="200">
          <cell r="M200">
            <v>218800</v>
          </cell>
          <cell r="N200">
            <v>65640</v>
          </cell>
        </row>
        <row r="201">
          <cell r="I201">
            <v>1</v>
          </cell>
        </row>
        <row r="201">
          <cell r="M201">
            <v>112600</v>
          </cell>
          <cell r="N201">
            <v>33780</v>
          </cell>
        </row>
        <row r="202">
          <cell r="I202">
            <v>1</v>
          </cell>
        </row>
        <row r="202">
          <cell r="M202">
            <v>167200</v>
          </cell>
          <cell r="N202">
            <v>50160</v>
          </cell>
        </row>
        <row r="203">
          <cell r="I203">
            <v>1</v>
          </cell>
        </row>
        <row r="203">
          <cell r="M203">
            <v>246500</v>
          </cell>
          <cell r="N203">
            <v>73950</v>
          </cell>
        </row>
        <row r="204">
          <cell r="I204">
            <v>1</v>
          </cell>
        </row>
        <row r="204">
          <cell r="M204">
            <v>227840</v>
          </cell>
          <cell r="N204">
            <v>68352</v>
          </cell>
        </row>
        <row r="205">
          <cell r="I205">
            <v>1</v>
          </cell>
        </row>
        <row r="205">
          <cell r="M205">
            <v>350260</v>
          </cell>
          <cell r="N205">
            <v>105078</v>
          </cell>
        </row>
        <row r="208">
          <cell r="I208">
            <v>1</v>
          </cell>
        </row>
        <row r="208">
          <cell r="M208">
            <v>474560</v>
          </cell>
          <cell r="N208">
            <v>142368</v>
          </cell>
        </row>
        <row r="209">
          <cell r="I209">
            <v>1</v>
          </cell>
        </row>
        <row r="209">
          <cell r="M209">
            <v>246500</v>
          </cell>
          <cell r="N209">
            <v>73950</v>
          </cell>
        </row>
        <row r="210">
          <cell r="I210">
            <v>1</v>
          </cell>
        </row>
        <row r="210">
          <cell r="M210">
            <v>533300</v>
          </cell>
          <cell r="N210">
            <v>159990</v>
          </cell>
        </row>
        <row r="211">
          <cell r="I211">
            <v>1</v>
          </cell>
        </row>
        <row r="211">
          <cell r="M211">
            <v>352520</v>
          </cell>
          <cell r="N211">
            <v>105756</v>
          </cell>
        </row>
        <row r="212">
          <cell r="I212">
            <v>1</v>
          </cell>
        </row>
        <row r="212">
          <cell r="M212">
            <v>144980</v>
          </cell>
          <cell r="N212">
            <v>43494</v>
          </cell>
        </row>
        <row r="213">
          <cell r="I213">
            <v>1</v>
          </cell>
        </row>
        <row r="213">
          <cell r="M213">
            <v>237280</v>
          </cell>
          <cell r="N213">
            <v>71184</v>
          </cell>
        </row>
        <row r="214">
          <cell r="I214">
            <v>1</v>
          </cell>
        </row>
        <row r="214">
          <cell r="M214">
            <v>106960</v>
          </cell>
          <cell r="N214">
            <v>32088</v>
          </cell>
        </row>
        <row r="215">
          <cell r="I215">
            <v>1</v>
          </cell>
        </row>
        <row r="215">
          <cell r="M215">
            <v>3894300</v>
          </cell>
          <cell r="N215">
            <v>1168290</v>
          </cell>
        </row>
        <row r="216">
          <cell r="I216">
            <v>1</v>
          </cell>
        </row>
        <row r="216">
          <cell r="M216">
            <v>155340</v>
          </cell>
          <cell r="N216">
            <v>46602</v>
          </cell>
        </row>
        <row r="217">
          <cell r="I217">
            <v>1</v>
          </cell>
        </row>
        <row r="217">
          <cell r="M217">
            <v>89900</v>
          </cell>
          <cell r="N217">
            <v>26970</v>
          </cell>
        </row>
        <row r="218">
          <cell r="I218">
            <v>1</v>
          </cell>
        </row>
        <row r="218">
          <cell r="M218">
            <v>142940</v>
          </cell>
          <cell r="N218">
            <v>42882</v>
          </cell>
        </row>
        <row r="219">
          <cell r="I219">
            <v>1</v>
          </cell>
        </row>
        <row r="219">
          <cell r="M219">
            <v>190940</v>
          </cell>
          <cell r="N219">
            <v>57282</v>
          </cell>
        </row>
        <row r="220">
          <cell r="I220">
            <v>1</v>
          </cell>
        </row>
        <row r="220">
          <cell r="M220">
            <v>162680</v>
          </cell>
          <cell r="N220">
            <v>48804</v>
          </cell>
        </row>
        <row r="221">
          <cell r="I221">
            <v>1</v>
          </cell>
        </row>
        <row r="221">
          <cell r="M221">
            <v>321080</v>
          </cell>
          <cell r="N221">
            <v>96324</v>
          </cell>
        </row>
        <row r="222">
          <cell r="I222">
            <v>1</v>
          </cell>
        </row>
        <row r="222">
          <cell r="M222">
            <v>321080</v>
          </cell>
          <cell r="N222">
            <v>96324</v>
          </cell>
        </row>
        <row r="223">
          <cell r="I223">
            <v>1</v>
          </cell>
        </row>
        <row r="223">
          <cell r="M223">
            <v>334460</v>
          </cell>
          <cell r="N223">
            <v>100338</v>
          </cell>
        </row>
        <row r="224">
          <cell r="I224">
            <v>1</v>
          </cell>
        </row>
        <row r="224">
          <cell r="M224">
            <v>142360</v>
          </cell>
          <cell r="N224">
            <v>42708</v>
          </cell>
        </row>
        <row r="225">
          <cell r="I225">
            <v>1</v>
          </cell>
        </row>
        <row r="225">
          <cell r="M225">
            <v>112600</v>
          </cell>
          <cell r="N225">
            <v>33780</v>
          </cell>
        </row>
        <row r="226">
          <cell r="I226">
            <v>1</v>
          </cell>
        </row>
        <row r="226">
          <cell r="M226">
            <v>162620</v>
          </cell>
          <cell r="N226">
            <v>48786</v>
          </cell>
        </row>
        <row r="227">
          <cell r="I227">
            <v>1</v>
          </cell>
        </row>
        <row r="227">
          <cell r="M227">
            <v>205640</v>
          </cell>
          <cell r="N227">
            <v>61692</v>
          </cell>
        </row>
        <row r="228">
          <cell r="I228">
            <v>1</v>
          </cell>
        </row>
        <row r="228">
          <cell r="M228">
            <v>265140</v>
          </cell>
          <cell r="N228">
            <v>79542</v>
          </cell>
        </row>
        <row r="229">
          <cell r="I229">
            <v>1</v>
          </cell>
        </row>
        <row r="229">
          <cell r="M229">
            <v>463260</v>
          </cell>
          <cell r="N229">
            <v>138978</v>
          </cell>
        </row>
        <row r="230">
          <cell r="I230">
            <v>1</v>
          </cell>
        </row>
        <row r="230">
          <cell r="M230">
            <v>110720</v>
          </cell>
          <cell r="N230">
            <v>33216</v>
          </cell>
        </row>
        <row r="231">
          <cell r="I231">
            <v>1</v>
          </cell>
        </row>
        <row r="231">
          <cell r="M231">
            <v>112980</v>
          </cell>
          <cell r="N231">
            <v>33894</v>
          </cell>
        </row>
        <row r="232">
          <cell r="I232">
            <v>1</v>
          </cell>
        </row>
        <row r="232">
          <cell r="M232">
            <v>216200</v>
          </cell>
          <cell r="N232">
            <v>64860</v>
          </cell>
        </row>
        <row r="233">
          <cell r="I233">
            <v>1</v>
          </cell>
        </row>
        <row r="233">
          <cell r="M233">
            <v>115240</v>
          </cell>
          <cell r="N233">
            <v>34572</v>
          </cell>
        </row>
        <row r="234">
          <cell r="I234">
            <v>1</v>
          </cell>
        </row>
        <row r="234">
          <cell r="M234">
            <v>110720</v>
          </cell>
          <cell r="N234">
            <v>33216</v>
          </cell>
        </row>
        <row r="235">
          <cell r="I235">
            <v>1</v>
          </cell>
        </row>
        <row r="235">
          <cell r="M235">
            <v>259880</v>
          </cell>
          <cell r="N235">
            <v>77964</v>
          </cell>
        </row>
        <row r="236">
          <cell r="I236">
            <v>1</v>
          </cell>
        </row>
        <row r="236">
          <cell r="M236">
            <v>451960</v>
          </cell>
          <cell r="N236">
            <v>135588</v>
          </cell>
        </row>
        <row r="237">
          <cell r="I237">
            <v>1</v>
          </cell>
        </row>
        <row r="237">
          <cell r="M237">
            <v>109100</v>
          </cell>
          <cell r="N237">
            <v>32730</v>
          </cell>
        </row>
        <row r="238">
          <cell r="I238">
            <v>1</v>
          </cell>
        </row>
        <row r="238">
          <cell r="M238">
            <v>235020</v>
          </cell>
          <cell r="N238">
            <v>70506</v>
          </cell>
        </row>
        <row r="239">
          <cell r="I239">
            <v>1</v>
          </cell>
        </row>
        <row r="239">
          <cell r="M239">
            <v>38980</v>
          </cell>
          <cell r="N239">
            <v>11694</v>
          </cell>
        </row>
        <row r="240">
          <cell r="I240">
            <v>1</v>
          </cell>
        </row>
        <row r="240">
          <cell r="M240">
            <v>352520</v>
          </cell>
          <cell r="N240">
            <v>105756</v>
          </cell>
        </row>
        <row r="241">
          <cell r="I241">
            <v>1</v>
          </cell>
        </row>
        <row r="241">
          <cell r="M241">
            <v>225980</v>
          </cell>
          <cell r="N241">
            <v>67794</v>
          </cell>
        </row>
        <row r="244">
          <cell r="I244">
            <v>1</v>
          </cell>
        </row>
        <row r="244">
          <cell r="M244">
            <v>393580</v>
          </cell>
          <cell r="N244">
            <v>118074</v>
          </cell>
        </row>
        <row r="245">
          <cell r="I245">
            <v>1</v>
          </cell>
        </row>
        <row r="245">
          <cell r="M245">
            <v>269300</v>
          </cell>
          <cell r="N245">
            <v>80790</v>
          </cell>
        </row>
        <row r="246">
          <cell r="I246">
            <v>1</v>
          </cell>
        </row>
        <row r="246">
          <cell r="M246">
            <v>151220</v>
          </cell>
          <cell r="N246">
            <v>45366</v>
          </cell>
        </row>
        <row r="247">
          <cell r="I247">
            <v>1</v>
          </cell>
        </row>
        <row r="247">
          <cell r="M247">
            <v>162620</v>
          </cell>
          <cell r="N247">
            <v>48786</v>
          </cell>
        </row>
        <row r="248">
          <cell r="I248">
            <v>1</v>
          </cell>
        </row>
        <row r="248">
          <cell r="M248">
            <v>132580</v>
          </cell>
          <cell r="N248">
            <v>39774</v>
          </cell>
        </row>
        <row r="249">
          <cell r="I249">
            <v>1</v>
          </cell>
        </row>
        <row r="249">
          <cell r="M249">
            <v>569640</v>
          </cell>
          <cell r="N249">
            <v>170892</v>
          </cell>
        </row>
        <row r="250">
          <cell r="I250">
            <v>1</v>
          </cell>
        </row>
        <row r="250">
          <cell r="M250">
            <v>403920</v>
          </cell>
          <cell r="N250">
            <v>121176</v>
          </cell>
        </row>
        <row r="251">
          <cell r="I251">
            <v>1</v>
          </cell>
        </row>
        <row r="251">
          <cell r="M251">
            <v>384160</v>
          </cell>
          <cell r="N251">
            <v>115248</v>
          </cell>
        </row>
        <row r="252">
          <cell r="I252">
            <v>1</v>
          </cell>
        </row>
        <row r="252">
          <cell r="M252">
            <v>406760</v>
          </cell>
          <cell r="N252">
            <v>122028</v>
          </cell>
        </row>
        <row r="253">
          <cell r="I253">
            <v>1</v>
          </cell>
        </row>
        <row r="253">
          <cell r="M253">
            <v>384160</v>
          </cell>
          <cell r="N253">
            <v>115248</v>
          </cell>
        </row>
        <row r="254">
          <cell r="I254">
            <v>1</v>
          </cell>
        </row>
        <row r="254">
          <cell r="M254">
            <v>137840</v>
          </cell>
          <cell r="N254">
            <v>41352</v>
          </cell>
        </row>
        <row r="255">
          <cell r="I255">
            <v>1</v>
          </cell>
        </row>
        <row r="255">
          <cell r="M255">
            <v>395460</v>
          </cell>
          <cell r="N255">
            <v>118638</v>
          </cell>
        </row>
        <row r="256">
          <cell r="I256">
            <v>1</v>
          </cell>
        </row>
        <row r="256">
          <cell r="M256">
            <v>1087500</v>
          </cell>
          <cell r="N256">
            <v>326250</v>
          </cell>
        </row>
        <row r="257">
          <cell r="I257">
            <v>1</v>
          </cell>
        </row>
        <row r="257">
          <cell r="M257">
            <v>237280</v>
          </cell>
          <cell r="N257">
            <v>71184</v>
          </cell>
        </row>
        <row r="258">
          <cell r="I258">
            <v>1</v>
          </cell>
        </row>
        <row r="258">
          <cell r="M258">
            <v>387340</v>
          </cell>
          <cell r="N258">
            <v>116202</v>
          </cell>
        </row>
        <row r="259">
          <cell r="I259">
            <v>1</v>
          </cell>
        </row>
        <row r="259">
          <cell r="M259">
            <v>418060</v>
          </cell>
          <cell r="N259">
            <v>125418</v>
          </cell>
        </row>
        <row r="260">
          <cell r="I260">
            <v>1</v>
          </cell>
        </row>
        <row r="260">
          <cell r="M260">
            <v>169860</v>
          </cell>
          <cell r="N260">
            <v>50958</v>
          </cell>
        </row>
        <row r="261">
          <cell r="I261">
            <v>1</v>
          </cell>
        </row>
        <row r="261">
          <cell r="M261">
            <v>399980</v>
          </cell>
          <cell r="N261">
            <v>119994</v>
          </cell>
        </row>
        <row r="262">
          <cell r="I262">
            <v>1</v>
          </cell>
        </row>
        <row r="262">
          <cell r="M262">
            <v>110720</v>
          </cell>
          <cell r="N262">
            <v>33216</v>
          </cell>
        </row>
        <row r="263">
          <cell r="I263">
            <v>1</v>
          </cell>
        </row>
        <row r="263">
          <cell r="M263">
            <v>269280</v>
          </cell>
          <cell r="N263">
            <v>80784</v>
          </cell>
        </row>
        <row r="264">
          <cell r="I264">
            <v>1</v>
          </cell>
        </row>
        <row r="264">
          <cell r="M264">
            <v>244060</v>
          </cell>
          <cell r="N264">
            <v>73218</v>
          </cell>
        </row>
        <row r="265">
          <cell r="I265">
            <v>1</v>
          </cell>
        </row>
        <row r="265">
          <cell r="M265">
            <v>289980</v>
          </cell>
          <cell r="N265">
            <v>86994</v>
          </cell>
        </row>
        <row r="268">
          <cell r="I268">
            <v>1</v>
          </cell>
        </row>
        <row r="268">
          <cell r="M268">
            <v>205640</v>
          </cell>
          <cell r="N268">
            <v>61692</v>
          </cell>
        </row>
        <row r="269">
          <cell r="I269">
            <v>1</v>
          </cell>
        </row>
        <row r="269">
          <cell r="M269">
            <v>68340</v>
          </cell>
          <cell r="N269">
            <v>20502</v>
          </cell>
        </row>
        <row r="270">
          <cell r="I270">
            <v>1</v>
          </cell>
        </row>
        <row r="270">
          <cell r="M270">
            <v>118100</v>
          </cell>
          <cell r="N270">
            <v>35430</v>
          </cell>
        </row>
        <row r="271">
          <cell r="I271">
            <v>1</v>
          </cell>
        </row>
        <row r="271">
          <cell r="M271">
            <v>108460</v>
          </cell>
          <cell r="N271">
            <v>32538</v>
          </cell>
        </row>
        <row r="272">
          <cell r="I272">
            <v>1</v>
          </cell>
        </row>
        <row r="272">
          <cell r="M272">
            <v>92640</v>
          </cell>
          <cell r="N272">
            <v>27792</v>
          </cell>
        </row>
        <row r="273">
          <cell r="I273">
            <v>1</v>
          </cell>
        </row>
        <row r="273">
          <cell r="M273">
            <v>30840</v>
          </cell>
          <cell r="N273">
            <v>9252</v>
          </cell>
        </row>
        <row r="274">
          <cell r="I274">
            <v>1</v>
          </cell>
        </row>
        <row r="274">
          <cell r="M274">
            <v>91140</v>
          </cell>
          <cell r="N274">
            <v>27342</v>
          </cell>
        </row>
        <row r="275">
          <cell r="I275">
            <v>1</v>
          </cell>
        </row>
        <row r="275">
          <cell r="M275">
            <v>47660</v>
          </cell>
          <cell r="N275">
            <v>14298</v>
          </cell>
        </row>
        <row r="276">
          <cell r="I276">
            <v>1</v>
          </cell>
        </row>
        <row r="276">
          <cell r="M276">
            <v>119760</v>
          </cell>
          <cell r="N276">
            <v>35928</v>
          </cell>
        </row>
        <row r="277">
          <cell r="I277">
            <v>1</v>
          </cell>
        </row>
        <row r="277">
          <cell r="M277">
            <v>21080</v>
          </cell>
          <cell r="N277">
            <v>6324</v>
          </cell>
        </row>
        <row r="278">
          <cell r="I278">
            <v>1</v>
          </cell>
        </row>
        <row r="278">
          <cell r="M278">
            <v>124280</v>
          </cell>
          <cell r="N278">
            <v>37284</v>
          </cell>
        </row>
        <row r="279">
          <cell r="I279">
            <v>1</v>
          </cell>
        </row>
        <row r="279">
          <cell r="M279">
            <v>151840</v>
          </cell>
          <cell r="N279">
            <v>45552</v>
          </cell>
        </row>
        <row r="280">
          <cell r="I280">
            <v>1</v>
          </cell>
        </row>
        <row r="280">
          <cell r="M280">
            <v>35580</v>
          </cell>
          <cell r="N280">
            <v>10674</v>
          </cell>
        </row>
        <row r="281">
          <cell r="I281">
            <v>1</v>
          </cell>
        </row>
        <row r="281">
          <cell r="M281">
            <v>35580</v>
          </cell>
          <cell r="N281">
            <v>10674</v>
          </cell>
        </row>
        <row r="282">
          <cell r="I282">
            <v>1</v>
          </cell>
        </row>
        <row r="282">
          <cell r="M282">
            <v>98080</v>
          </cell>
          <cell r="N282">
            <v>29424</v>
          </cell>
        </row>
        <row r="283">
          <cell r="I283">
            <v>1</v>
          </cell>
        </row>
        <row r="283">
          <cell r="M283">
            <v>122020</v>
          </cell>
          <cell r="N283">
            <v>36606</v>
          </cell>
        </row>
        <row r="284">
          <cell r="I284">
            <v>1</v>
          </cell>
        </row>
        <row r="284">
          <cell r="M284">
            <v>100800</v>
          </cell>
          <cell r="N284">
            <v>30240</v>
          </cell>
        </row>
        <row r="285">
          <cell r="I285">
            <v>1</v>
          </cell>
        </row>
        <row r="285">
          <cell r="M285">
            <v>100800</v>
          </cell>
          <cell r="N285">
            <v>30240</v>
          </cell>
        </row>
        <row r="286">
          <cell r="I286">
            <v>1</v>
          </cell>
        </row>
        <row r="286">
          <cell r="M286">
            <v>120200</v>
          </cell>
          <cell r="N286">
            <v>36060</v>
          </cell>
        </row>
        <row r="287">
          <cell r="I287">
            <v>1</v>
          </cell>
        </row>
        <row r="287">
          <cell r="M287">
            <v>158100</v>
          </cell>
          <cell r="N287">
            <v>47430</v>
          </cell>
        </row>
        <row r="288">
          <cell r="I288">
            <v>1</v>
          </cell>
        </row>
        <row r="288">
          <cell r="M288">
            <v>307220</v>
          </cell>
          <cell r="N288">
            <v>92166</v>
          </cell>
        </row>
        <row r="289">
          <cell r="M289">
            <v>56500</v>
          </cell>
          <cell r="N289">
            <v>16950</v>
          </cell>
        </row>
        <row r="290">
          <cell r="I290">
            <v>1</v>
          </cell>
        </row>
        <row r="290">
          <cell r="M290">
            <v>124280</v>
          </cell>
          <cell r="N290">
            <v>37284</v>
          </cell>
        </row>
        <row r="291">
          <cell r="I291">
            <v>1</v>
          </cell>
        </row>
        <row r="291">
          <cell r="M291">
            <v>51780</v>
          </cell>
          <cell r="N291">
            <v>15534</v>
          </cell>
        </row>
        <row r="292">
          <cell r="I292">
            <v>1</v>
          </cell>
        </row>
        <row r="292">
          <cell r="M292">
            <v>120200</v>
          </cell>
          <cell r="N292">
            <v>36060</v>
          </cell>
        </row>
        <row r="293">
          <cell r="I293">
            <v>1</v>
          </cell>
        </row>
        <row r="293">
          <cell r="M293">
            <v>113920</v>
          </cell>
          <cell r="N293">
            <v>34176</v>
          </cell>
        </row>
        <row r="294">
          <cell r="I294">
            <v>1</v>
          </cell>
        </row>
        <row r="294">
          <cell r="M294">
            <v>108460</v>
          </cell>
          <cell r="N294">
            <v>32538</v>
          </cell>
        </row>
        <row r="295">
          <cell r="I295">
            <v>1</v>
          </cell>
        </row>
        <row r="295">
          <cell r="M295">
            <v>205780</v>
          </cell>
          <cell r="N295">
            <v>61734</v>
          </cell>
        </row>
        <row r="296">
          <cell r="I296">
            <v>1</v>
          </cell>
        </row>
        <row r="296">
          <cell r="M296">
            <v>120200</v>
          </cell>
          <cell r="N296">
            <v>36060</v>
          </cell>
        </row>
        <row r="297">
          <cell r="I297">
            <v>1</v>
          </cell>
        </row>
        <row r="297">
          <cell r="M297">
            <v>101220</v>
          </cell>
          <cell r="N297">
            <v>30366</v>
          </cell>
        </row>
        <row r="298">
          <cell r="I298">
            <v>1</v>
          </cell>
        </row>
        <row r="298">
          <cell r="M298">
            <v>185280</v>
          </cell>
          <cell r="N298">
            <v>55584</v>
          </cell>
        </row>
        <row r="299">
          <cell r="I299">
            <v>1</v>
          </cell>
        </row>
        <row r="299">
          <cell r="M299">
            <v>47440</v>
          </cell>
          <cell r="N299">
            <v>14232</v>
          </cell>
        </row>
        <row r="300">
          <cell r="I300">
            <v>1</v>
          </cell>
        </row>
        <row r="300">
          <cell r="M300">
            <v>216560</v>
          </cell>
          <cell r="N300">
            <v>64968</v>
          </cell>
        </row>
        <row r="301">
          <cell r="I301">
            <v>1</v>
          </cell>
        </row>
        <row r="301">
          <cell r="M301">
            <v>187460</v>
          </cell>
          <cell r="N301">
            <v>56238</v>
          </cell>
        </row>
        <row r="302">
          <cell r="I302">
            <v>1</v>
          </cell>
        </row>
        <row r="302">
          <cell r="M302">
            <v>103940</v>
          </cell>
          <cell r="N302">
            <v>31182</v>
          </cell>
        </row>
        <row r="303">
          <cell r="I303">
            <v>1</v>
          </cell>
        </row>
        <row r="303">
          <cell r="M303">
            <v>88120</v>
          </cell>
          <cell r="N303">
            <v>26436</v>
          </cell>
        </row>
        <row r="304">
          <cell r="I304">
            <v>1</v>
          </cell>
        </row>
        <row r="304">
          <cell r="M304">
            <v>186420</v>
          </cell>
          <cell r="N304">
            <v>55926</v>
          </cell>
        </row>
        <row r="305">
          <cell r="I305">
            <v>1</v>
          </cell>
        </row>
        <row r="305">
          <cell r="M305">
            <v>82840</v>
          </cell>
          <cell r="N305">
            <v>24852</v>
          </cell>
        </row>
        <row r="306">
          <cell r="I306">
            <v>1</v>
          </cell>
        </row>
        <row r="306">
          <cell r="M306">
            <v>118100</v>
          </cell>
          <cell r="N306">
            <v>35430</v>
          </cell>
        </row>
        <row r="307">
          <cell r="I307">
            <v>1</v>
          </cell>
        </row>
        <row r="307">
          <cell r="M307">
            <v>111780</v>
          </cell>
          <cell r="N307">
            <v>33534</v>
          </cell>
        </row>
        <row r="308">
          <cell r="I308">
            <v>1</v>
          </cell>
        </row>
        <row r="308">
          <cell r="M308">
            <v>347900</v>
          </cell>
          <cell r="N308">
            <v>104370</v>
          </cell>
        </row>
        <row r="309">
          <cell r="I309">
            <v>1</v>
          </cell>
        </row>
        <row r="309">
          <cell r="M309">
            <v>88120</v>
          </cell>
          <cell r="N309">
            <v>26436</v>
          </cell>
        </row>
        <row r="310">
          <cell r="I310">
            <v>1</v>
          </cell>
        </row>
        <row r="310">
          <cell r="M310">
            <v>111780</v>
          </cell>
          <cell r="N310">
            <v>33534</v>
          </cell>
        </row>
        <row r="311">
          <cell r="I311">
            <v>1</v>
          </cell>
        </row>
        <row r="311">
          <cell r="M311">
            <v>134980</v>
          </cell>
          <cell r="N311">
            <v>40494</v>
          </cell>
        </row>
        <row r="312">
          <cell r="I312">
            <v>1</v>
          </cell>
        </row>
        <row r="312">
          <cell r="M312">
            <v>76660</v>
          </cell>
          <cell r="N312">
            <v>22998</v>
          </cell>
        </row>
        <row r="313">
          <cell r="I313">
            <v>1</v>
          </cell>
        </row>
        <row r="313">
          <cell r="M313">
            <v>100800</v>
          </cell>
          <cell r="N313">
            <v>30240</v>
          </cell>
        </row>
        <row r="314">
          <cell r="I314">
            <v>1</v>
          </cell>
        </row>
        <row r="314">
          <cell r="M314">
            <v>94900</v>
          </cell>
          <cell r="N314">
            <v>28470</v>
          </cell>
        </row>
        <row r="315">
          <cell r="I315">
            <v>1</v>
          </cell>
        </row>
        <row r="315">
          <cell r="M315">
            <v>113920</v>
          </cell>
          <cell r="N315">
            <v>34176</v>
          </cell>
        </row>
        <row r="316">
          <cell r="I316">
            <v>1</v>
          </cell>
        </row>
        <row r="316">
          <cell r="M316">
            <v>72480</v>
          </cell>
          <cell r="N316">
            <v>21744</v>
          </cell>
        </row>
        <row r="317">
          <cell r="I317">
            <v>1</v>
          </cell>
        </row>
        <row r="317">
          <cell r="M317">
            <v>189800</v>
          </cell>
          <cell r="N317">
            <v>56940</v>
          </cell>
        </row>
        <row r="318">
          <cell r="I318">
            <v>1</v>
          </cell>
        </row>
        <row r="318">
          <cell r="M318">
            <v>135580</v>
          </cell>
          <cell r="N318">
            <v>40674</v>
          </cell>
        </row>
        <row r="319">
          <cell r="I319">
            <v>1</v>
          </cell>
        </row>
        <row r="319">
          <cell r="M319">
            <v>135580</v>
          </cell>
          <cell r="N319">
            <v>40674</v>
          </cell>
        </row>
        <row r="320">
          <cell r="I320">
            <v>1</v>
          </cell>
        </row>
        <row r="320">
          <cell r="M320">
            <v>47440</v>
          </cell>
          <cell r="N320">
            <v>14232</v>
          </cell>
        </row>
        <row r="321">
          <cell r="I321">
            <v>1</v>
          </cell>
        </row>
        <row r="321">
          <cell r="M321">
            <v>134980</v>
          </cell>
          <cell r="N321">
            <v>40494</v>
          </cell>
        </row>
        <row r="322">
          <cell r="I322">
            <v>1</v>
          </cell>
        </row>
        <row r="322">
          <cell r="M322">
            <v>115240</v>
          </cell>
          <cell r="N322">
            <v>34572</v>
          </cell>
        </row>
        <row r="323">
          <cell r="I323">
            <v>1</v>
          </cell>
        </row>
        <row r="323">
          <cell r="M323">
            <v>144920</v>
          </cell>
          <cell r="N323">
            <v>43476</v>
          </cell>
        </row>
        <row r="324">
          <cell r="I324">
            <v>1</v>
          </cell>
        </row>
        <row r="324">
          <cell r="M324">
            <v>111780</v>
          </cell>
          <cell r="N324">
            <v>33534</v>
          </cell>
        </row>
        <row r="325">
          <cell r="I325">
            <v>1</v>
          </cell>
        </row>
        <row r="325">
          <cell r="M325">
            <v>76820</v>
          </cell>
          <cell r="N325">
            <v>23046</v>
          </cell>
        </row>
        <row r="326">
          <cell r="I326">
            <v>1</v>
          </cell>
        </row>
        <row r="326">
          <cell r="M326">
            <v>135580</v>
          </cell>
          <cell r="N326">
            <v>40674</v>
          </cell>
        </row>
        <row r="327">
          <cell r="I327">
            <v>1</v>
          </cell>
        </row>
        <row r="327">
          <cell r="M327">
            <v>124300</v>
          </cell>
          <cell r="N327">
            <v>37290</v>
          </cell>
        </row>
        <row r="328">
          <cell r="I328">
            <v>1</v>
          </cell>
        </row>
        <row r="328">
          <cell r="M328">
            <v>288880</v>
          </cell>
          <cell r="N328">
            <v>86664</v>
          </cell>
        </row>
        <row r="329">
          <cell r="I329">
            <v>1</v>
          </cell>
        </row>
        <row r="329">
          <cell r="M329">
            <v>119760</v>
          </cell>
          <cell r="N329">
            <v>35928</v>
          </cell>
        </row>
        <row r="330">
          <cell r="M330">
            <v>56480</v>
          </cell>
          <cell r="N330">
            <v>16944</v>
          </cell>
        </row>
        <row r="331">
          <cell r="I331">
            <v>1</v>
          </cell>
        </row>
        <row r="331">
          <cell r="M331">
            <v>119760</v>
          </cell>
          <cell r="N331">
            <v>35928</v>
          </cell>
        </row>
        <row r="332">
          <cell r="I332">
            <v>1</v>
          </cell>
        </row>
        <row r="332">
          <cell r="M332">
            <v>47440</v>
          </cell>
          <cell r="N332">
            <v>14232</v>
          </cell>
        </row>
        <row r="333">
          <cell r="I333">
            <v>1</v>
          </cell>
        </row>
        <row r="333">
          <cell r="M333">
            <v>189800</v>
          </cell>
          <cell r="N333">
            <v>56940</v>
          </cell>
        </row>
        <row r="334">
          <cell r="I334">
            <v>1</v>
          </cell>
        </row>
        <row r="334">
          <cell r="M334">
            <v>141300</v>
          </cell>
          <cell r="N334">
            <v>42390</v>
          </cell>
        </row>
        <row r="337">
          <cell r="I337">
            <v>1</v>
          </cell>
        </row>
        <row r="337">
          <cell r="M337">
            <v>82840</v>
          </cell>
          <cell r="N337">
            <v>24852</v>
          </cell>
        </row>
        <row r="338">
          <cell r="I338">
            <v>1</v>
          </cell>
        </row>
        <row r="338">
          <cell r="M338">
            <v>112980</v>
          </cell>
          <cell r="N338">
            <v>33894</v>
          </cell>
        </row>
        <row r="339">
          <cell r="I339">
            <v>1</v>
          </cell>
        </row>
        <row r="339">
          <cell r="M339">
            <v>189800</v>
          </cell>
          <cell r="N339">
            <v>56940</v>
          </cell>
        </row>
        <row r="340">
          <cell r="I340">
            <v>1</v>
          </cell>
        </row>
        <row r="340">
          <cell r="M340">
            <v>72480</v>
          </cell>
          <cell r="N340">
            <v>21744</v>
          </cell>
        </row>
        <row r="341">
          <cell r="I341">
            <v>1</v>
          </cell>
        </row>
        <row r="341">
          <cell r="M341">
            <v>361560</v>
          </cell>
          <cell r="N341">
            <v>108468</v>
          </cell>
        </row>
        <row r="342">
          <cell r="I342">
            <v>1</v>
          </cell>
        </row>
        <row r="342">
          <cell r="M342">
            <v>119760</v>
          </cell>
          <cell r="N342">
            <v>35928</v>
          </cell>
        </row>
        <row r="343">
          <cell r="I343">
            <v>1</v>
          </cell>
        </row>
        <row r="343">
          <cell r="M343">
            <v>214660</v>
          </cell>
          <cell r="N343">
            <v>64398</v>
          </cell>
        </row>
        <row r="344">
          <cell r="I344">
            <v>1</v>
          </cell>
        </row>
        <row r="344">
          <cell r="M344">
            <v>93200</v>
          </cell>
          <cell r="N344">
            <v>27960</v>
          </cell>
        </row>
        <row r="345">
          <cell r="I345">
            <v>1</v>
          </cell>
        </row>
        <row r="345">
          <cell r="M345">
            <v>135580</v>
          </cell>
          <cell r="N345">
            <v>40674</v>
          </cell>
        </row>
        <row r="346">
          <cell r="M346">
            <v>88120</v>
          </cell>
          <cell r="N346">
            <v>26436</v>
          </cell>
        </row>
        <row r="347">
          <cell r="M347">
            <v>282480</v>
          </cell>
          <cell r="N347">
            <v>84744</v>
          </cell>
        </row>
        <row r="348">
          <cell r="I348">
            <v>1</v>
          </cell>
        </row>
        <row r="348">
          <cell r="M348">
            <v>153640</v>
          </cell>
          <cell r="N348">
            <v>46092</v>
          </cell>
        </row>
        <row r="349">
          <cell r="I349">
            <v>1</v>
          </cell>
        </row>
        <row r="349">
          <cell r="M349">
            <v>293780</v>
          </cell>
          <cell r="N349">
            <v>88134</v>
          </cell>
        </row>
        <row r="350">
          <cell r="I350">
            <v>1</v>
          </cell>
        </row>
        <row r="350">
          <cell r="M350">
            <v>176080</v>
          </cell>
          <cell r="N350">
            <v>52824</v>
          </cell>
        </row>
        <row r="351">
          <cell r="M351">
            <v>128800</v>
          </cell>
          <cell r="N351">
            <v>38640</v>
          </cell>
        </row>
        <row r="352">
          <cell r="I352">
            <v>1</v>
          </cell>
        </row>
        <row r="352">
          <cell r="M352">
            <v>95700</v>
          </cell>
          <cell r="N352">
            <v>28710</v>
          </cell>
        </row>
        <row r="353">
          <cell r="I353">
            <v>1</v>
          </cell>
        </row>
        <row r="353">
          <cell r="M353">
            <v>93200</v>
          </cell>
          <cell r="N353">
            <v>27960</v>
          </cell>
        </row>
        <row r="354">
          <cell r="I354">
            <v>1</v>
          </cell>
        </row>
        <row r="354">
          <cell r="M354">
            <v>178500</v>
          </cell>
          <cell r="N354">
            <v>53550</v>
          </cell>
        </row>
        <row r="355">
          <cell r="I355">
            <v>1</v>
          </cell>
        </row>
        <row r="355">
          <cell r="M355">
            <v>103560</v>
          </cell>
          <cell r="N355">
            <v>31068</v>
          </cell>
        </row>
        <row r="356">
          <cell r="I356">
            <v>1</v>
          </cell>
        </row>
        <row r="356">
          <cell r="M356">
            <v>193380</v>
          </cell>
          <cell r="N356">
            <v>58014</v>
          </cell>
        </row>
        <row r="357">
          <cell r="I357">
            <v>1</v>
          </cell>
        </row>
        <row r="357">
          <cell r="M357">
            <v>112980</v>
          </cell>
          <cell r="N357">
            <v>33894</v>
          </cell>
        </row>
        <row r="358">
          <cell r="I358">
            <v>1</v>
          </cell>
        </row>
        <row r="358">
          <cell r="M358">
            <v>290000</v>
          </cell>
          <cell r="N358">
            <v>87000</v>
          </cell>
        </row>
        <row r="359">
          <cell r="M359">
            <v>167200</v>
          </cell>
          <cell r="N359">
            <v>50160</v>
          </cell>
        </row>
        <row r="360">
          <cell r="I360">
            <v>1</v>
          </cell>
        </row>
        <row r="360">
          <cell r="M360">
            <v>118080</v>
          </cell>
          <cell r="N360">
            <v>35424</v>
          </cell>
        </row>
        <row r="361">
          <cell r="I361">
            <v>1</v>
          </cell>
        </row>
        <row r="361">
          <cell r="M361">
            <v>93200</v>
          </cell>
          <cell r="N361">
            <v>27960</v>
          </cell>
        </row>
        <row r="362">
          <cell r="I362">
            <v>1</v>
          </cell>
        </row>
        <row r="362">
          <cell r="M362">
            <v>115240</v>
          </cell>
          <cell r="N362">
            <v>34572</v>
          </cell>
        </row>
        <row r="363">
          <cell r="I363">
            <v>1</v>
          </cell>
        </row>
        <row r="363">
          <cell r="M363">
            <v>82860</v>
          </cell>
          <cell r="N363">
            <v>24858</v>
          </cell>
        </row>
        <row r="364">
          <cell r="I364">
            <v>1</v>
          </cell>
        </row>
        <row r="364">
          <cell r="M364">
            <v>310720</v>
          </cell>
          <cell r="N364">
            <v>93216</v>
          </cell>
        </row>
        <row r="365">
          <cell r="I365">
            <v>1</v>
          </cell>
        </row>
        <row r="365">
          <cell r="M365">
            <v>310720</v>
          </cell>
          <cell r="N365">
            <v>93216</v>
          </cell>
        </row>
        <row r="366">
          <cell r="I366">
            <v>1</v>
          </cell>
        </row>
        <row r="366">
          <cell r="M366">
            <v>124280</v>
          </cell>
          <cell r="N366">
            <v>37284</v>
          </cell>
        </row>
        <row r="367">
          <cell r="I367">
            <v>1</v>
          </cell>
        </row>
        <row r="367">
          <cell r="M367">
            <v>219180</v>
          </cell>
          <cell r="N367">
            <v>65754</v>
          </cell>
        </row>
        <row r="368">
          <cell r="I368">
            <v>1</v>
          </cell>
        </row>
        <row r="368">
          <cell r="M368">
            <v>176240</v>
          </cell>
          <cell r="N368">
            <v>52872</v>
          </cell>
        </row>
        <row r="369">
          <cell r="I369">
            <v>1</v>
          </cell>
        </row>
        <row r="369">
          <cell r="M369">
            <v>451960</v>
          </cell>
          <cell r="N369">
            <v>135588</v>
          </cell>
        </row>
        <row r="370">
          <cell r="I370">
            <v>1</v>
          </cell>
        </row>
        <row r="370">
          <cell r="M370">
            <v>113940</v>
          </cell>
          <cell r="N370">
            <v>34182</v>
          </cell>
        </row>
        <row r="371">
          <cell r="I371">
            <v>1</v>
          </cell>
        </row>
        <row r="371">
          <cell r="M371">
            <v>258940</v>
          </cell>
          <cell r="N371">
            <v>77682</v>
          </cell>
        </row>
        <row r="372">
          <cell r="I372">
            <v>1</v>
          </cell>
        </row>
        <row r="372">
          <cell r="M372">
            <v>113920</v>
          </cell>
          <cell r="N372">
            <v>34176</v>
          </cell>
        </row>
        <row r="373">
          <cell r="I373">
            <v>1</v>
          </cell>
        </row>
        <row r="373">
          <cell r="M373">
            <v>79080</v>
          </cell>
          <cell r="N373">
            <v>23724</v>
          </cell>
        </row>
        <row r="374">
          <cell r="I374">
            <v>1</v>
          </cell>
        </row>
        <row r="374">
          <cell r="M374">
            <v>273320</v>
          </cell>
          <cell r="N374">
            <v>81996</v>
          </cell>
        </row>
        <row r="375">
          <cell r="I375">
            <v>1</v>
          </cell>
        </row>
        <row r="375">
          <cell r="M375">
            <v>395460</v>
          </cell>
          <cell r="N375">
            <v>118638</v>
          </cell>
        </row>
        <row r="376">
          <cell r="I376">
            <v>1</v>
          </cell>
        </row>
        <row r="376">
          <cell r="M376">
            <v>239900</v>
          </cell>
          <cell r="N376">
            <v>71970</v>
          </cell>
        </row>
        <row r="379">
          <cell r="I379">
            <v>1</v>
          </cell>
        </row>
        <row r="379">
          <cell r="M379">
            <v>239540</v>
          </cell>
          <cell r="N379">
            <v>71862</v>
          </cell>
        </row>
        <row r="380">
          <cell r="I380">
            <v>1</v>
          </cell>
        </row>
        <row r="380">
          <cell r="M380">
            <v>196580</v>
          </cell>
          <cell r="N380">
            <v>58974</v>
          </cell>
        </row>
        <row r="381">
          <cell r="I381">
            <v>1</v>
          </cell>
        </row>
        <row r="381">
          <cell r="M381">
            <v>85860</v>
          </cell>
          <cell r="N381">
            <v>25758</v>
          </cell>
        </row>
        <row r="382">
          <cell r="I382">
            <v>1</v>
          </cell>
        </row>
        <row r="382">
          <cell r="M382">
            <v>112980</v>
          </cell>
          <cell r="N382">
            <v>33894</v>
          </cell>
        </row>
        <row r="383">
          <cell r="I383">
            <v>1</v>
          </cell>
        </row>
        <row r="383">
          <cell r="M383">
            <v>111780</v>
          </cell>
          <cell r="N383">
            <v>33534</v>
          </cell>
        </row>
        <row r="384">
          <cell r="I384">
            <v>1</v>
          </cell>
        </row>
        <row r="384">
          <cell r="M384">
            <v>134980</v>
          </cell>
          <cell r="N384">
            <v>40494</v>
          </cell>
        </row>
        <row r="385">
          <cell r="I385">
            <v>1</v>
          </cell>
        </row>
        <row r="385">
          <cell r="M385">
            <v>100800</v>
          </cell>
          <cell r="N385">
            <v>30240</v>
          </cell>
        </row>
        <row r="386">
          <cell r="I386">
            <v>1</v>
          </cell>
        </row>
        <row r="386">
          <cell r="M386">
            <v>111780</v>
          </cell>
          <cell r="N386">
            <v>33534</v>
          </cell>
        </row>
        <row r="387">
          <cell r="I387">
            <v>1</v>
          </cell>
        </row>
        <row r="387">
          <cell r="M387">
            <v>190940</v>
          </cell>
          <cell r="N387">
            <v>57282</v>
          </cell>
        </row>
        <row r="388">
          <cell r="I388">
            <v>1</v>
          </cell>
        </row>
        <row r="388">
          <cell r="M388">
            <v>35200</v>
          </cell>
          <cell r="N388">
            <v>10560</v>
          </cell>
        </row>
        <row r="389">
          <cell r="I389">
            <v>1</v>
          </cell>
        </row>
        <row r="389">
          <cell r="M389">
            <v>112980</v>
          </cell>
          <cell r="N389">
            <v>33894</v>
          </cell>
        </row>
        <row r="390">
          <cell r="I390">
            <v>1</v>
          </cell>
        </row>
        <row r="390">
          <cell r="M390">
            <v>112980</v>
          </cell>
          <cell r="N390">
            <v>33894</v>
          </cell>
        </row>
        <row r="391">
          <cell r="I391">
            <v>1</v>
          </cell>
        </row>
        <row r="391">
          <cell r="M391">
            <v>20700</v>
          </cell>
          <cell r="N391">
            <v>6210</v>
          </cell>
        </row>
        <row r="392">
          <cell r="I392">
            <v>1</v>
          </cell>
        </row>
        <row r="392">
          <cell r="M392">
            <v>160420</v>
          </cell>
          <cell r="N392">
            <v>48126</v>
          </cell>
        </row>
        <row r="393">
          <cell r="I393">
            <v>1</v>
          </cell>
        </row>
        <row r="393">
          <cell r="M393">
            <v>536700</v>
          </cell>
          <cell r="N393">
            <v>161010</v>
          </cell>
        </row>
        <row r="394">
          <cell r="I394">
            <v>1</v>
          </cell>
        </row>
        <row r="394">
          <cell r="M394">
            <v>100800</v>
          </cell>
          <cell r="N394">
            <v>30240</v>
          </cell>
        </row>
        <row r="395">
          <cell r="I395">
            <v>1</v>
          </cell>
        </row>
        <row r="395">
          <cell r="M395">
            <v>103940</v>
          </cell>
          <cell r="N395">
            <v>31182</v>
          </cell>
        </row>
        <row r="396">
          <cell r="I396">
            <v>1</v>
          </cell>
        </row>
        <row r="396">
          <cell r="M396">
            <v>100800</v>
          </cell>
          <cell r="N396">
            <v>30240</v>
          </cell>
        </row>
        <row r="397">
          <cell r="I397">
            <v>1</v>
          </cell>
        </row>
        <row r="397">
          <cell r="M397">
            <v>93220</v>
          </cell>
          <cell r="N397">
            <v>27966</v>
          </cell>
        </row>
        <row r="398">
          <cell r="I398">
            <v>1</v>
          </cell>
        </row>
        <row r="398">
          <cell r="M398">
            <v>31060</v>
          </cell>
          <cell r="N398">
            <v>9318</v>
          </cell>
        </row>
        <row r="399">
          <cell r="I399">
            <v>1</v>
          </cell>
        </row>
        <row r="399">
          <cell r="M399">
            <v>215440</v>
          </cell>
          <cell r="N399">
            <v>64632</v>
          </cell>
        </row>
        <row r="400">
          <cell r="I400">
            <v>1</v>
          </cell>
        </row>
        <row r="400">
          <cell r="M400">
            <v>72300</v>
          </cell>
          <cell r="N400">
            <v>21690</v>
          </cell>
        </row>
        <row r="401">
          <cell r="I401">
            <v>1</v>
          </cell>
        </row>
        <row r="401">
          <cell r="M401">
            <v>186420</v>
          </cell>
          <cell r="N401">
            <v>55926</v>
          </cell>
        </row>
        <row r="402">
          <cell r="I402">
            <v>1</v>
          </cell>
        </row>
        <row r="402">
          <cell r="M402">
            <v>61000</v>
          </cell>
          <cell r="N402">
            <v>18300</v>
          </cell>
        </row>
        <row r="403">
          <cell r="I403">
            <v>1</v>
          </cell>
        </row>
        <row r="403">
          <cell r="M403">
            <v>129860</v>
          </cell>
          <cell r="N403">
            <v>38958</v>
          </cell>
        </row>
        <row r="404">
          <cell r="I404">
            <v>1</v>
          </cell>
        </row>
        <row r="404">
          <cell r="M404">
            <v>51960</v>
          </cell>
          <cell r="N404">
            <v>15588</v>
          </cell>
        </row>
        <row r="405">
          <cell r="I405">
            <v>1</v>
          </cell>
        </row>
        <row r="405">
          <cell r="M405">
            <v>122380</v>
          </cell>
          <cell r="N405">
            <v>36714</v>
          </cell>
        </row>
        <row r="406">
          <cell r="I406">
            <v>1</v>
          </cell>
        </row>
        <row r="406">
          <cell r="M406">
            <v>94900</v>
          </cell>
          <cell r="N406">
            <v>28470</v>
          </cell>
        </row>
        <row r="407">
          <cell r="I407">
            <v>1</v>
          </cell>
        </row>
        <row r="407">
          <cell r="M407">
            <v>93220</v>
          </cell>
          <cell r="N407">
            <v>27966</v>
          </cell>
        </row>
        <row r="408">
          <cell r="I408">
            <v>1</v>
          </cell>
        </row>
        <row r="408">
          <cell r="M408">
            <v>100800</v>
          </cell>
          <cell r="N408">
            <v>30240</v>
          </cell>
        </row>
        <row r="409">
          <cell r="I409">
            <v>1</v>
          </cell>
        </row>
        <row r="409">
          <cell r="M409">
            <v>100800</v>
          </cell>
          <cell r="N409">
            <v>30240</v>
          </cell>
        </row>
        <row r="410">
          <cell r="I410">
            <v>1</v>
          </cell>
        </row>
        <row r="410">
          <cell r="M410">
            <v>101220</v>
          </cell>
          <cell r="N410">
            <v>30366</v>
          </cell>
        </row>
        <row r="411">
          <cell r="I411">
            <v>1</v>
          </cell>
        </row>
        <row r="411">
          <cell r="M411">
            <v>75920</v>
          </cell>
          <cell r="N411">
            <v>22776</v>
          </cell>
        </row>
        <row r="412">
          <cell r="I412">
            <v>1</v>
          </cell>
        </row>
        <row r="412">
          <cell r="M412">
            <v>108460</v>
          </cell>
          <cell r="N412">
            <v>32538</v>
          </cell>
        </row>
        <row r="413">
          <cell r="I413">
            <v>1</v>
          </cell>
        </row>
        <row r="413">
          <cell r="M413">
            <v>103560</v>
          </cell>
          <cell r="N413">
            <v>31068</v>
          </cell>
        </row>
        <row r="414">
          <cell r="I414">
            <v>1</v>
          </cell>
        </row>
        <row r="414">
          <cell r="M414">
            <v>203200</v>
          </cell>
          <cell r="N414">
            <v>60960</v>
          </cell>
        </row>
        <row r="415">
          <cell r="I415">
            <v>1</v>
          </cell>
        </row>
        <row r="415">
          <cell r="M415">
            <v>179660</v>
          </cell>
          <cell r="N415">
            <v>53898</v>
          </cell>
        </row>
        <row r="416">
          <cell r="I416">
            <v>1</v>
          </cell>
        </row>
        <row r="416">
          <cell r="M416">
            <v>117500</v>
          </cell>
          <cell r="N416">
            <v>35250</v>
          </cell>
        </row>
        <row r="417">
          <cell r="I417">
            <v>1</v>
          </cell>
        </row>
        <row r="417">
          <cell r="M417">
            <v>108460</v>
          </cell>
          <cell r="N417">
            <v>32538</v>
          </cell>
        </row>
        <row r="418">
          <cell r="I418">
            <v>1</v>
          </cell>
        </row>
        <row r="418">
          <cell r="M418">
            <v>120200</v>
          </cell>
          <cell r="N418">
            <v>36060</v>
          </cell>
        </row>
        <row r="419">
          <cell r="I419">
            <v>1</v>
          </cell>
        </row>
        <row r="419">
          <cell r="M419">
            <v>293780</v>
          </cell>
          <cell r="N419">
            <v>88134</v>
          </cell>
        </row>
        <row r="420">
          <cell r="I420">
            <v>1</v>
          </cell>
        </row>
        <row r="420">
          <cell r="M420">
            <v>155900</v>
          </cell>
          <cell r="N420">
            <v>46770</v>
          </cell>
        </row>
        <row r="423">
          <cell r="I423">
            <v>1</v>
          </cell>
        </row>
        <row r="423">
          <cell r="M423">
            <v>103560</v>
          </cell>
          <cell r="N423">
            <v>31068</v>
          </cell>
        </row>
        <row r="424">
          <cell r="I424">
            <v>1</v>
          </cell>
        </row>
        <row r="424">
          <cell r="M424">
            <v>186420</v>
          </cell>
          <cell r="N424">
            <v>55926</v>
          </cell>
        </row>
        <row r="425">
          <cell r="I425">
            <v>1</v>
          </cell>
        </row>
        <row r="425">
          <cell r="M425">
            <v>35200</v>
          </cell>
          <cell r="N425">
            <v>10560</v>
          </cell>
        </row>
        <row r="426">
          <cell r="I426">
            <v>1</v>
          </cell>
        </row>
        <row r="426">
          <cell r="M426">
            <v>84360</v>
          </cell>
          <cell r="N426">
            <v>25308</v>
          </cell>
        </row>
        <row r="427">
          <cell r="I427">
            <v>1</v>
          </cell>
        </row>
        <row r="427">
          <cell r="M427">
            <v>115240</v>
          </cell>
          <cell r="N427">
            <v>34572</v>
          </cell>
        </row>
        <row r="428">
          <cell r="I428">
            <v>1</v>
          </cell>
        </row>
        <row r="428">
          <cell r="M428">
            <v>88120</v>
          </cell>
          <cell r="N428">
            <v>26436</v>
          </cell>
        </row>
        <row r="429">
          <cell r="I429">
            <v>1</v>
          </cell>
        </row>
        <row r="429">
          <cell r="M429">
            <v>88120</v>
          </cell>
          <cell r="N429">
            <v>26436</v>
          </cell>
        </row>
        <row r="430">
          <cell r="I430">
            <v>1</v>
          </cell>
        </row>
        <row r="430">
          <cell r="M430">
            <v>134980</v>
          </cell>
          <cell r="N430">
            <v>40494</v>
          </cell>
        </row>
        <row r="431">
          <cell r="I431">
            <v>1</v>
          </cell>
        </row>
        <row r="431">
          <cell r="M431">
            <v>86980</v>
          </cell>
          <cell r="N431">
            <v>26094</v>
          </cell>
        </row>
        <row r="432">
          <cell r="I432">
            <v>1</v>
          </cell>
        </row>
        <row r="432">
          <cell r="M432">
            <v>118100</v>
          </cell>
          <cell r="N432">
            <v>35430</v>
          </cell>
        </row>
        <row r="433">
          <cell r="I433">
            <v>1</v>
          </cell>
        </row>
        <row r="433">
          <cell r="M433">
            <v>134980</v>
          </cell>
          <cell r="N433">
            <v>40494</v>
          </cell>
        </row>
        <row r="434">
          <cell r="I434">
            <v>1</v>
          </cell>
        </row>
        <row r="434">
          <cell r="M434">
            <v>72300</v>
          </cell>
          <cell r="N434">
            <v>21690</v>
          </cell>
        </row>
        <row r="435">
          <cell r="I435">
            <v>1</v>
          </cell>
        </row>
        <row r="435">
          <cell r="M435">
            <v>81340</v>
          </cell>
          <cell r="N435">
            <v>24402</v>
          </cell>
        </row>
        <row r="436">
          <cell r="I436">
            <v>1</v>
          </cell>
        </row>
        <row r="436">
          <cell r="M436">
            <v>165700</v>
          </cell>
          <cell r="N436">
            <v>49710</v>
          </cell>
        </row>
        <row r="437">
          <cell r="I437">
            <v>1</v>
          </cell>
        </row>
        <row r="437">
          <cell r="M437">
            <v>103940</v>
          </cell>
          <cell r="N437">
            <v>31182</v>
          </cell>
        </row>
        <row r="438">
          <cell r="I438">
            <v>1</v>
          </cell>
        </row>
        <row r="438">
          <cell r="M438">
            <v>119760</v>
          </cell>
          <cell r="N438">
            <v>35928</v>
          </cell>
        </row>
        <row r="439">
          <cell r="I439">
            <v>1</v>
          </cell>
        </row>
        <row r="439">
          <cell r="M439">
            <v>93200</v>
          </cell>
          <cell r="N439">
            <v>27960</v>
          </cell>
        </row>
        <row r="440">
          <cell r="I440">
            <v>1</v>
          </cell>
        </row>
        <row r="440">
          <cell r="M440">
            <v>115240</v>
          </cell>
          <cell r="N440">
            <v>34572</v>
          </cell>
        </row>
        <row r="441">
          <cell r="I441">
            <v>1</v>
          </cell>
        </row>
        <row r="441">
          <cell r="M441">
            <v>100800</v>
          </cell>
          <cell r="N441">
            <v>30240</v>
          </cell>
        </row>
        <row r="444">
          <cell r="I444">
            <v>1</v>
          </cell>
        </row>
        <row r="444">
          <cell r="M444">
            <v>307340</v>
          </cell>
          <cell r="N444">
            <v>92202</v>
          </cell>
        </row>
        <row r="445">
          <cell r="I445">
            <v>1</v>
          </cell>
        </row>
        <row r="445">
          <cell r="M445">
            <v>109800</v>
          </cell>
          <cell r="N445">
            <v>32940</v>
          </cell>
        </row>
        <row r="446">
          <cell r="I446">
            <v>1</v>
          </cell>
        </row>
        <row r="446">
          <cell r="M446">
            <v>113920</v>
          </cell>
          <cell r="N446">
            <v>34176</v>
          </cell>
        </row>
        <row r="447">
          <cell r="I447">
            <v>1</v>
          </cell>
        </row>
        <row r="447">
          <cell r="M447">
            <v>197740</v>
          </cell>
          <cell r="N447">
            <v>59322</v>
          </cell>
        </row>
        <row r="448">
          <cell r="I448">
            <v>1</v>
          </cell>
        </row>
        <row r="448">
          <cell r="M448">
            <v>222600</v>
          </cell>
          <cell r="N448">
            <v>66780</v>
          </cell>
        </row>
        <row r="449">
          <cell r="I449">
            <v>1</v>
          </cell>
        </row>
        <row r="449">
          <cell r="M449">
            <v>176080</v>
          </cell>
          <cell r="N449">
            <v>52824</v>
          </cell>
        </row>
        <row r="450">
          <cell r="I450">
            <v>1</v>
          </cell>
        </row>
        <row r="450">
          <cell r="M450">
            <v>282480</v>
          </cell>
          <cell r="N450">
            <v>84744</v>
          </cell>
        </row>
        <row r="451">
          <cell r="I451">
            <v>1</v>
          </cell>
        </row>
        <row r="451">
          <cell r="M451">
            <v>20700</v>
          </cell>
          <cell r="N451">
            <v>6210</v>
          </cell>
        </row>
        <row r="452">
          <cell r="I452">
            <v>1</v>
          </cell>
        </row>
        <row r="452">
          <cell r="M452">
            <v>103940</v>
          </cell>
          <cell r="N452">
            <v>31182</v>
          </cell>
        </row>
        <row r="453">
          <cell r="I453">
            <v>1</v>
          </cell>
        </row>
        <row r="453">
          <cell r="M453">
            <v>429360</v>
          </cell>
          <cell r="N453">
            <v>128808</v>
          </cell>
        </row>
        <row r="454">
          <cell r="I454">
            <v>1</v>
          </cell>
        </row>
        <row r="454">
          <cell r="M454">
            <v>93220</v>
          </cell>
          <cell r="N454">
            <v>27966</v>
          </cell>
        </row>
        <row r="455">
          <cell r="I455">
            <v>1</v>
          </cell>
        </row>
        <row r="455">
          <cell r="M455">
            <v>289980</v>
          </cell>
          <cell r="N455">
            <v>86994</v>
          </cell>
        </row>
        <row r="456">
          <cell r="I456">
            <v>1</v>
          </cell>
        </row>
        <row r="456">
          <cell r="M456">
            <v>259860</v>
          </cell>
          <cell r="N456">
            <v>77958</v>
          </cell>
        </row>
        <row r="457">
          <cell r="I457">
            <v>1</v>
          </cell>
        </row>
        <row r="457">
          <cell r="M457">
            <v>227860</v>
          </cell>
          <cell r="N457">
            <v>68358</v>
          </cell>
        </row>
        <row r="460">
          <cell r="I460">
            <v>1</v>
          </cell>
        </row>
        <row r="460">
          <cell r="M460">
            <v>113920</v>
          </cell>
          <cell r="N460">
            <v>34176</v>
          </cell>
        </row>
        <row r="461">
          <cell r="I461">
            <v>1</v>
          </cell>
        </row>
        <row r="461">
          <cell r="M461">
            <v>248560</v>
          </cell>
          <cell r="N461">
            <v>74568</v>
          </cell>
        </row>
        <row r="462">
          <cell r="I462">
            <v>1</v>
          </cell>
        </row>
        <row r="462">
          <cell r="M462">
            <v>69460</v>
          </cell>
          <cell r="N462">
            <v>20838</v>
          </cell>
        </row>
        <row r="463">
          <cell r="I463">
            <v>1</v>
          </cell>
        </row>
        <row r="463">
          <cell r="M463">
            <v>207140</v>
          </cell>
          <cell r="N463">
            <v>62142</v>
          </cell>
        </row>
        <row r="464">
          <cell r="I464">
            <v>1</v>
          </cell>
        </row>
        <row r="464">
          <cell r="M464">
            <v>316260</v>
          </cell>
          <cell r="N464">
            <v>94878</v>
          </cell>
        </row>
        <row r="465">
          <cell r="I465">
            <v>1</v>
          </cell>
        </row>
        <row r="465">
          <cell r="M465">
            <v>263640</v>
          </cell>
          <cell r="N465">
            <v>79092</v>
          </cell>
        </row>
        <row r="466">
          <cell r="I466">
            <v>1</v>
          </cell>
        </row>
        <row r="466">
          <cell r="M466">
            <v>259860</v>
          </cell>
          <cell r="N466">
            <v>77958</v>
          </cell>
        </row>
        <row r="467">
          <cell r="I467">
            <v>1</v>
          </cell>
        </row>
        <row r="467">
          <cell r="M467">
            <v>156600</v>
          </cell>
          <cell r="N467">
            <v>46980</v>
          </cell>
        </row>
        <row r="468">
          <cell r="I468">
            <v>1</v>
          </cell>
        </row>
        <row r="468">
          <cell r="M468">
            <v>186420</v>
          </cell>
          <cell r="N468">
            <v>55926</v>
          </cell>
        </row>
        <row r="469">
          <cell r="I469">
            <v>1</v>
          </cell>
        </row>
        <row r="469">
          <cell r="M469">
            <v>115860</v>
          </cell>
          <cell r="N469">
            <v>34758</v>
          </cell>
        </row>
        <row r="470">
          <cell r="I470">
            <v>1</v>
          </cell>
        </row>
        <row r="470">
          <cell r="M470">
            <v>134140</v>
          </cell>
          <cell r="N470">
            <v>40242</v>
          </cell>
        </row>
        <row r="471">
          <cell r="I471">
            <v>1</v>
          </cell>
        </row>
        <row r="471">
          <cell r="M471">
            <v>165700</v>
          </cell>
          <cell r="N471">
            <v>49710</v>
          </cell>
        </row>
        <row r="474">
          <cell r="I474">
            <v>1</v>
          </cell>
        </row>
        <row r="474">
          <cell r="M474">
            <v>273440</v>
          </cell>
          <cell r="N474">
            <v>82032</v>
          </cell>
        </row>
        <row r="475">
          <cell r="I475">
            <v>1</v>
          </cell>
        </row>
        <row r="475">
          <cell r="M475">
            <v>37300</v>
          </cell>
          <cell r="N475">
            <v>11190</v>
          </cell>
        </row>
        <row r="476">
          <cell r="I476">
            <v>1</v>
          </cell>
        </row>
        <row r="476">
          <cell r="M476">
            <v>126540</v>
          </cell>
          <cell r="N476">
            <v>37962</v>
          </cell>
        </row>
        <row r="477">
          <cell r="I477">
            <v>1</v>
          </cell>
        </row>
        <row r="477">
          <cell r="M477">
            <v>103940</v>
          </cell>
          <cell r="N477">
            <v>31182</v>
          </cell>
        </row>
        <row r="478">
          <cell r="I478">
            <v>1</v>
          </cell>
        </row>
        <row r="478">
          <cell r="M478">
            <v>178500</v>
          </cell>
          <cell r="N478">
            <v>53550</v>
          </cell>
        </row>
        <row r="479">
          <cell r="I479">
            <v>1</v>
          </cell>
        </row>
        <row r="479">
          <cell r="M479">
            <v>67440</v>
          </cell>
          <cell r="N479">
            <v>20232</v>
          </cell>
        </row>
        <row r="480">
          <cell r="I480">
            <v>1</v>
          </cell>
        </row>
        <row r="480">
          <cell r="M480">
            <v>207880</v>
          </cell>
          <cell r="N480">
            <v>62364</v>
          </cell>
        </row>
        <row r="481">
          <cell r="I481">
            <v>1</v>
          </cell>
        </row>
        <row r="481">
          <cell r="M481">
            <v>82840</v>
          </cell>
          <cell r="N481">
            <v>24852</v>
          </cell>
        </row>
        <row r="482">
          <cell r="I482">
            <v>1</v>
          </cell>
        </row>
        <row r="482">
          <cell r="M482">
            <v>82840</v>
          </cell>
          <cell r="N482">
            <v>24852</v>
          </cell>
        </row>
        <row r="483">
          <cell r="I483">
            <v>1</v>
          </cell>
        </row>
        <row r="483">
          <cell r="M483">
            <v>119760</v>
          </cell>
          <cell r="N483">
            <v>35928</v>
          </cell>
        </row>
        <row r="484">
          <cell r="I484">
            <v>1</v>
          </cell>
        </row>
        <row r="484">
          <cell r="M484">
            <v>257620</v>
          </cell>
          <cell r="N484">
            <v>77286</v>
          </cell>
        </row>
        <row r="485">
          <cell r="I485">
            <v>1</v>
          </cell>
        </row>
        <row r="485">
          <cell r="M485">
            <v>463260</v>
          </cell>
          <cell r="N485">
            <v>138978</v>
          </cell>
        </row>
        <row r="486">
          <cell r="I486">
            <v>1</v>
          </cell>
        </row>
        <row r="486">
          <cell r="M486">
            <v>196580</v>
          </cell>
          <cell r="N486">
            <v>58974</v>
          </cell>
        </row>
        <row r="487">
          <cell r="I487">
            <v>1</v>
          </cell>
        </row>
        <row r="487">
          <cell r="M487">
            <v>57980</v>
          </cell>
          <cell r="N487">
            <v>17394</v>
          </cell>
        </row>
        <row r="488">
          <cell r="I488">
            <v>1</v>
          </cell>
        </row>
        <row r="488">
          <cell r="M488">
            <v>19580</v>
          </cell>
          <cell r="N488">
            <v>5874</v>
          </cell>
        </row>
        <row r="489">
          <cell r="I489">
            <v>1</v>
          </cell>
        </row>
        <row r="489">
          <cell r="M489">
            <v>266540</v>
          </cell>
          <cell r="N489">
            <v>79962</v>
          </cell>
        </row>
        <row r="490">
          <cell r="I490">
            <v>1</v>
          </cell>
        </row>
        <row r="490">
          <cell r="M490">
            <v>250720</v>
          </cell>
          <cell r="N490">
            <v>75216</v>
          </cell>
        </row>
        <row r="491">
          <cell r="I491">
            <v>1</v>
          </cell>
        </row>
        <row r="491">
          <cell r="M491">
            <v>359660</v>
          </cell>
          <cell r="N491">
            <v>107898</v>
          </cell>
        </row>
        <row r="492">
          <cell r="I492">
            <v>1</v>
          </cell>
        </row>
        <row r="492">
          <cell r="M492">
            <v>113920</v>
          </cell>
          <cell r="N492">
            <v>34176</v>
          </cell>
        </row>
        <row r="493">
          <cell r="I493">
            <v>1</v>
          </cell>
        </row>
        <row r="493">
          <cell r="M493">
            <v>72480</v>
          </cell>
          <cell r="N493">
            <v>21744</v>
          </cell>
        </row>
        <row r="494">
          <cell r="I494">
            <v>1</v>
          </cell>
        </row>
        <row r="494">
          <cell r="M494">
            <v>155340</v>
          </cell>
          <cell r="N494">
            <v>46602</v>
          </cell>
        </row>
        <row r="495">
          <cell r="I495">
            <v>1</v>
          </cell>
        </row>
        <row r="495">
          <cell r="M495">
            <v>100200</v>
          </cell>
          <cell r="N495">
            <v>30060</v>
          </cell>
        </row>
        <row r="496">
          <cell r="I496">
            <v>1</v>
          </cell>
        </row>
        <row r="496">
          <cell r="M496">
            <v>82840</v>
          </cell>
          <cell r="N496">
            <v>24852</v>
          </cell>
        </row>
        <row r="497">
          <cell r="I497">
            <v>1</v>
          </cell>
        </row>
        <row r="497">
          <cell r="M497">
            <v>271180</v>
          </cell>
          <cell r="N497">
            <v>81354</v>
          </cell>
        </row>
        <row r="498">
          <cell r="I498">
            <v>1</v>
          </cell>
        </row>
        <row r="498">
          <cell r="M498">
            <v>189800</v>
          </cell>
          <cell r="N498">
            <v>56940</v>
          </cell>
        </row>
        <row r="499">
          <cell r="I499">
            <v>1</v>
          </cell>
        </row>
        <row r="499">
          <cell r="M499">
            <v>112980</v>
          </cell>
          <cell r="N499">
            <v>33894</v>
          </cell>
        </row>
        <row r="500">
          <cell r="I500">
            <v>1</v>
          </cell>
        </row>
        <row r="500">
          <cell r="M500">
            <v>365400</v>
          </cell>
          <cell r="N500">
            <v>109620</v>
          </cell>
        </row>
        <row r="501">
          <cell r="I501">
            <v>1</v>
          </cell>
        </row>
        <row r="501">
          <cell r="M501">
            <v>365400</v>
          </cell>
          <cell r="N501">
            <v>109620</v>
          </cell>
        </row>
        <row r="502">
          <cell r="I502">
            <v>1</v>
          </cell>
        </row>
        <row r="502">
          <cell r="M502">
            <v>176080</v>
          </cell>
          <cell r="N502">
            <v>52824</v>
          </cell>
        </row>
        <row r="503">
          <cell r="I503">
            <v>1</v>
          </cell>
        </row>
        <row r="503">
          <cell r="M503">
            <v>26920</v>
          </cell>
          <cell r="N503">
            <v>8076</v>
          </cell>
        </row>
        <row r="504">
          <cell r="I504">
            <v>1</v>
          </cell>
        </row>
        <row r="504">
          <cell r="M504">
            <v>250840</v>
          </cell>
          <cell r="N504">
            <v>75252</v>
          </cell>
        </row>
        <row r="505">
          <cell r="I505">
            <v>1</v>
          </cell>
        </row>
        <row r="505">
          <cell r="M505">
            <v>293780</v>
          </cell>
          <cell r="N505">
            <v>88134</v>
          </cell>
        </row>
        <row r="506">
          <cell r="I506">
            <v>1</v>
          </cell>
        </row>
        <row r="506">
          <cell r="M506">
            <v>142360</v>
          </cell>
          <cell r="N506">
            <v>42708</v>
          </cell>
        </row>
        <row r="507">
          <cell r="I507">
            <v>1</v>
          </cell>
        </row>
        <row r="507">
          <cell r="M507">
            <v>190580</v>
          </cell>
          <cell r="N507">
            <v>57174</v>
          </cell>
        </row>
        <row r="508">
          <cell r="I508">
            <v>1</v>
          </cell>
        </row>
        <row r="508">
          <cell r="M508">
            <v>30140</v>
          </cell>
          <cell r="N508">
            <v>9042</v>
          </cell>
        </row>
        <row r="509">
          <cell r="I509">
            <v>1</v>
          </cell>
        </row>
        <row r="509">
          <cell r="M509">
            <v>221440</v>
          </cell>
          <cell r="N509">
            <v>66432</v>
          </cell>
        </row>
        <row r="510">
          <cell r="I510">
            <v>1</v>
          </cell>
        </row>
        <row r="510">
          <cell r="M510">
            <v>32200</v>
          </cell>
          <cell r="N510">
            <v>9660</v>
          </cell>
        </row>
        <row r="511">
          <cell r="I511">
            <v>1</v>
          </cell>
        </row>
        <row r="511">
          <cell r="M511">
            <v>144980</v>
          </cell>
          <cell r="N511">
            <v>43494</v>
          </cell>
        </row>
        <row r="512">
          <cell r="I512">
            <v>1</v>
          </cell>
        </row>
        <row r="512">
          <cell r="M512">
            <v>72500</v>
          </cell>
          <cell r="N512">
            <v>21750</v>
          </cell>
        </row>
        <row r="513">
          <cell r="I513">
            <v>1</v>
          </cell>
        </row>
        <row r="513">
          <cell r="M513">
            <v>225980</v>
          </cell>
          <cell r="N513">
            <v>67794</v>
          </cell>
        </row>
        <row r="514">
          <cell r="I514">
            <v>1</v>
          </cell>
        </row>
        <row r="514">
          <cell r="M514">
            <v>113940</v>
          </cell>
          <cell r="N514">
            <v>34182</v>
          </cell>
        </row>
        <row r="515">
          <cell r="I515">
            <v>1</v>
          </cell>
        </row>
        <row r="515">
          <cell r="M515">
            <v>293780</v>
          </cell>
          <cell r="N515">
            <v>88134</v>
          </cell>
        </row>
        <row r="516">
          <cell r="I516">
            <v>1</v>
          </cell>
        </row>
        <row r="516">
          <cell r="M516">
            <v>167820</v>
          </cell>
          <cell r="N516">
            <v>50346</v>
          </cell>
        </row>
        <row r="517">
          <cell r="I517">
            <v>1</v>
          </cell>
        </row>
        <row r="517">
          <cell r="M517">
            <v>37300</v>
          </cell>
          <cell r="N517">
            <v>11190</v>
          </cell>
        </row>
        <row r="518">
          <cell r="I518">
            <v>1</v>
          </cell>
        </row>
        <row r="518">
          <cell r="M518">
            <v>113920</v>
          </cell>
          <cell r="N518">
            <v>34176</v>
          </cell>
        </row>
        <row r="519">
          <cell r="I519">
            <v>1</v>
          </cell>
        </row>
        <row r="519">
          <cell r="M519">
            <v>38980</v>
          </cell>
          <cell r="N519">
            <v>11694</v>
          </cell>
        </row>
        <row r="520">
          <cell r="I520">
            <v>1</v>
          </cell>
        </row>
        <row r="520">
          <cell r="M520">
            <v>93220</v>
          </cell>
          <cell r="N520">
            <v>27966</v>
          </cell>
        </row>
        <row r="523">
          <cell r="I523">
            <v>1</v>
          </cell>
        </row>
        <row r="523">
          <cell r="M523">
            <v>246320</v>
          </cell>
          <cell r="N523">
            <v>73896</v>
          </cell>
        </row>
        <row r="524">
          <cell r="I524">
            <v>1</v>
          </cell>
        </row>
        <row r="524">
          <cell r="M524">
            <v>112980</v>
          </cell>
          <cell r="N524">
            <v>33894</v>
          </cell>
        </row>
        <row r="525">
          <cell r="I525">
            <v>1</v>
          </cell>
        </row>
        <row r="525">
          <cell r="M525">
            <v>93200</v>
          </cell>
          <cell r="N525">
            <v>27960</v>
          </cell>
        </row>
        <row r="526">
          <cell r="I526">
            <v>1</v>
          </cell>
        </row>
        <row r="526">
          <cell r="M526">
            <v>203360</v>
          </cell>
          <cell r="N526">
            <v>61008</v>
          </cell>
        </row>
        <row r="527">
          <cell r="I527">
            <v>1</v>
          </cell>
        </row>
        <row r="527">
          <cell r="M527">
            <v>248560</v>
          </cell>
          <cell r="N527">
            <v>74568</v>
          </cell>
        </row>
        <row r="528">
          <cell r="I528">
            <v>1</v>
          </cell>
        </row>
        <row r="528">
          <cell r="M528">
            <v>108460</v>
          </cell>
          <cell r="N528">
            <v>32538</v>
          </cell>
        </row>
        <row r="529">
          <cell r="I529">
            <v>1</v>
          </cell>
        </row>
        <row r="529">
          <cell r="M529">
            <v>119760</v>
          </cell>
          <cell r="N529">
            <v>35928</v>
          </cell>
        </row>
        <row r="530">
          <cell r="I530">
            <v>1</v>
          </cell>
        </row>
        <row r="530">
          <cell r="M530">
            <v>120200</v>
          </cell>
          <cell r="N530">
            <v>36060</v>
          </cell>
        </row>
        <row r="531">
          <cell r="I531">
            <v>1</v>
          </cell>
        </row>
        <row r="531">
          <cell r="M531">
            <v>225980</v>
          </cell>
          <cell r="N531">
            <v>67794</v>
          </cell>
        </row>
        <row r="532">
          <cell r="I532">
            <v>1</v>
          </cell>
        </row>
        <row r="532">
          <cell r="M532">
            <v>497160</v>
          </cell>
          <cell r="N532">
            <v>149148</v>
          </cell>
        </row>
        <row r="533">
          <cell r="I533">
            <v>1</v>
          </cell>
        </row>
        <row r="533">
          <cell r="M533">
            <v>165700</v>
          </cell>
          <cell r="N533">
            <v>49710</v>
          </cell>
        </row>
        <row r="534">
          <cell r="I534">
            <v>1</v>
          </cell>
        </row>
        <row r="534">
          <cell r="M534">
            <v>84360</v>
          </cell>
          <cell r="N534">
            <v>25308</v>
          </cell>
        </row>
        <row r="535">
          <cell r="I535">
            <v>1</v>
          </cell>
        </row>
        <row r="535">
          <cell r="M535">
            <v>333500</v>
          </cell>
          <cell r="N535">
            <v>100050</v>
          </cell>
        </row>
        <row r="536">
          <cell r="I536">
            <v>1</v>
          </cell>
        </row>
        <row r="536">
          <cell r="M536">
            <v>180780</v>
          </cell>
          <cell r="N536">
            <v>54234</v>
          </cell>
        </row>
        <row r="537">
          <cell r="I537">
            <v>1</v>
          </cell>
        </row>
        <row r="537">
          <cell r="M537">
            <v>115240</v>
          </cell>
          <cell r="N537">
            <v>34572</v>
          </cell>
        </row>
        <row r="538">
          <cell r="I538">
            <v>1</v>
          </cell>
        </row>
        <row r="538">
          <cell r="M538">
            <v>134640</v>
          </cell>
          <cell r="N538">
            <v>40392</v>
          </cell>
        </row>
        <row r="539">
          <cell r="I539">
            <v>1</v>
          </cell>
        </row>
        <row r="539">
          <cell r="M539">
            <v>119760</v>
          </cell>
          <cell r="N539">
            <v>35928</v>
          </cell>
        </row>
        <row r="540">
          <cell r="I540">
            <v>1</v>
          </cell>
        </row>
        <row r="540">
          <cell r="M540">
            <v>149140</v>
          </cell>
          <cell r="N540">
            <v>44742</v>
          </cell>
        </row>
        <row r="541">
          <cell r="I541">
            <v>1</v>
          </cell>
        </row>
        <row r="541">
          <cell r="M541">
            <v>103560</v>
          </cell>
          <cell r="N541">
            <v>31068</v>
          </cell>
        </row>
        <row r="542">
          <cell r="I542">
            <v>1</v>
          </cell>
        </row>
        <row r="542">
          <cell r="M542">
            <v>110720</v>
          </cell>
          <cell r="N542">
            <v>33216</v>
          </cell>
        </row>
        <row r="543">
          <cell r="I543">
            <v>1</v>
          </cell>
        </row>
        <row r="543">
          <cell r="M543">
            <v>153300</v>
          </cell>
          <cell r="N543">
            <v>45990</v>
          </cell>
        </row>
        <row r="544">
          <cell r="I544">
            <v>1</v>
          </cell>
        </row>
        <row r="544">
          <cell r="M544">
            <v>149140</v>
          </cell>
          <cell r="N544">
            <v>44742</v>
          </cell>
        </row>
        <row r="545">
          <cell r="I545">
            <v>1</v>
          </cell>
        </row>
        <row r="545">
          <cell r="M545">
            <v>93220</v>
          </cell>
          <cell r="N545">
            <v>27966</v>
          </cell>
        </row>
        <row r="548">
          <cell r="I548">
            <v>1</v>
          </cell>
        </row>
        <row r="548">
          <cell r="M548">
            <v>41420</v>
          </cell>
          <cell r="N548">
            <v>12426</v>
          </cell>
        </row>
        <row r="549">
          <cell r="I549">
            <v>1</v>
          </cell>
        </row>
        <row r="549">
          <cell r="M549">
            <v>69940</v>
          </cell>
          <cell r="N549">
            <v>20982</v>
          </cell>
        </row>
        <row r="550">
          <cell r="I550">
            <v>1</v>
          </cell>
        </row>
        <row r="550">
          <cell r="M550">
            <v>426540</v>
          </cell>
          <cell r="N550">
            <v>127962</v>
          </cell>
        </row>
        <row r="551">
          <cell r="I551">
            <v>1</v>
          </cell>
        </row>
        <row r="551">
          <cell r="M551">
            <v>332200</v>
          </cell>
          <cell r="N551">
            <v>99660</v>
          </cell>
        </row>
        <row r="552">
          <cell r="I552">
            <v>1</v>
          </cell>
        </row>
        <row r="552">
          <cell r="M552">
            <v>259860</v>
          </cell>
          <cell r="N552">
            <v>77958</v>
          </cell>
        </row>
        <row r="553">
          <cell r="I553">
            <v>1</v>
          </cell>
        </row>
        <row r="553">
          <cell r="M553">
            <v>342220</v>
          </cell>
          <cell r="N553">
            <v>102666</v>
          </cell>
        </row>
        <row r="554">
          <cell r="I554">
            <v>1</v>
          </cell>
        </row>
        <row r="554">
          <cell r="M554">
            <v>384160</v>
          </cell>
          <cell r="N554">
            <v>115248</v>
          </cell>
        </row>
        <row r="555">
          <cell r="I555">
            <v>1</v>
          </cell>
        </row>
        <row r="555">
          <cell r="M555">
            <v>487180</v>
          </cell>
          <cell r="N555">
            <v>146154</v>
          </cell>
        </row>
        <row r="556">
          <cell r="I556">
            <v>1</v>
          </cell>
        </row>
        <row r="556">
          <cell r="M556">
            <v>487180</v>
          </cell>
          <cell r="N556">
            <v>146154</v>
          </cell>
        </row>
        <row r="557">
          <cell r="I557">
            <v>1</v>
          </cell>
        </row>
        <row r="557">
          <cell r="M557">
            <v>291900</v>
          </cell>
          <cell r="N557">
            <v>87570</v>
          </cell>
        </row>
        <row r="558">
          <cell r="I558">
            <v>1</v>
          </cell>
        </row>
        <row r="558">
          <cell r="M558">
            <v>289980</v>
          </cell>
          <cell r="N558">
            <v>86994</v>
          </cell>
        </row>
        <row r="559">
          <cell r="I559">
            <v>1</v>
          </cell>
        </row>
        <row r="559">
          <cell r="M559">
            <v>393580</v>
          </cell>
          <cell r="N559">
            <v>118074</v>
          </cell>
        </row>
        <row r="560">
          <cell r="I560">
            <v>1</v>
          </cell>
        </row>
        <row r="560">
          <cell r="M560">
            <v>201980</v>
          </cell>
          <cell r="N560">
            <v>60594</v>
          </cell>
        </row>
        <row r="561">
          <cell r="I561">
            <v>1</v>
          </cell>
        </row>
        <row r="561">
          <cell r="M561">
            <v>216560</v>
          </cell>
          <cell r="N561">
            <v>64968</v>
          </cell>
        </row>
        <row r="562">
          <cell r="I562">
            <v>1</v>
          </cell>
        </row>
        <row r="562">
          <cell r="M562">
            <v>248560</v>
          </cell>
          <cell r="N562">
            <v>74568</v>
          </cell>
        </row>
        <row r="563">
          <cell r="I563">
            <v>1</v>
          </cell>
        </row>
        <row r="563">
          <cell r="M563">
            <v>362320</v>
          </cell>
          <cell r="N563">
            <v>108696</v>
          </cell>
        </row>
        <row r="564">
          <cell r="I564">
            <v>1</v>
          </cell>
        </row>
        <row r="564">
          <cell r="M564">
            <v>429360</v>
          </cell>
          <cell r="N564">
            <v>128808</v>
          </cell>
        </row>
        <row r="565">
          <cell r="I565">
            <v>1</v>
          </cell>
        </row>
        <row r="565">
          <cell r="M565">
            <v>155900</v>
          </cell>
          <cell r="N565">
            <v>46770</v>
          </cell>
        </row>
        <row r="566">
          <cell r="I566">
            <v>1</v>
          </cell>
        </row>
        <row r="566">
          <cell r="M566">
            <v>338980</v>
          </cell>
          <cell r="N566">
            <v>101694</v>
          </cell>
        </row>
        <row r="567">
          <cell r="I567">
            <v>1</v>
          </cell>
        </row>
        <row r="567">
          <cell r="M567">
            <v>129760</v>
          </cell>
          <cell r="N567">
            <v>38928</v>
          </cell>
        </row>
        <row r="568">
          <cell r="I568">
            <v>1</v>
          </cell>
        </row>
        <row r="568">
          <cell r="M568">
            <v>291900</v>
          </cell>
          <cell r="N568">
            <v>87570</v>
          </cell>
        </row>
        <row r="569">
          <cell r="I569">
            <v>1</v>
          </cell>
        </row>
        <row r="569">
          <cell r="M569">
            <v>187540</v>
          </cell>
          <cell r="N569">
            <v>56262</v>
          </cell>
        </row>
        <row r="570">
          <cell r="I570">
            <v>1</v>
          </cell>
        </row>
        <row r="570">
          <cell r="M570">
            <v>99420</v>
          </cell>
          <cell r="N570">
            <v>29826</v>
          </cell>
        </row>
        <row r="571">
          <cell r="I571">
            <v>1</v>
          </cell>
        </row>
        <row r="571">
          <cell r="M571">
            <v>89640</v>
          </cell>
          <cell r="N571">
            <v>26892</v>
          </cell>
        </row>
        <row r="572">
          <cell r="I572">
            <v>1</v>
          </cell>
        </row>
        <row r="572">
          <cell r="M572">
            <v>372840</v>
          </cell>
          <cell r="N572">
            <v>111852</v>
          </cell>
        </row>
        <row r="573">
          <cell r="I573">
            <v>1</v>
          </cell>
        </row>
        <row r="573">
          <cell r="M573">
            <v>451960</v>
          </cell>
          <cell r="N573">
            <v>135588</v>
          </cell>
        </row>
        <row r="574">
          <cell r="I574">
            <v>1</v>
          </cell>
        </row>
        <row r="574">
          <cell r="M574">
            <v>264400</v>
          </cell>
          <cell r="N574">
            <v>79320</v>
          </cell>
        </row>
        <row r="575">
          <cell r="I575">
            <v>1</v>
          </cell>
        </row>
        <row r="575">
          <cell r="M575">
            <v>155340</v>
          </cell>
          <cell r="N575">
            <v>46602</v>
          </cell>
        </row>
        <row r="576">
          <cell r="I576">
            <v>1</v>
          </cell>
        </row>
        <row r="576">
          <cell r="M576">
            <v>235020</v>
          </cell>
          <cell r="N576">
            <v>70506</v>
          </cell>
        </row>
        <row r="577">
          <cell r="I577">
            <v>1</v>
          </cell>
        </row>
        <row r="577">
          <cell r="M577">
            <v>112980</v>
          </cell>
          <cell r="N577">
            <v>33894</v>
          </cell>
        </row>
        <row r="578">
          <cell r="I578">
            <v>1</v>
          </cell>
        </row>
        <row r="578">
          <cell r="M578">
            <v>248560</v>
          </cell>
          <cell r="N578">
            <v>74568</v>
          </cell>
        </row>
        <row r="579">
          <cell r="I579">
            <v>1</v>
          </cell>
        </row>
        <row r="579">
          <cell r="M579">
            <v>237280</v>
          </cell>
          <cell r="N579">
            <v>71184</v>
          </cell>
        </row>
        <row r="580">
          <cell r="I580">
            <v>1</v>
          </cell>
        </row>
        <row r="580">
          <cell r="M580">
            <v>331420</v>
          </cell>
          <cell r="N580">
            <v>99426</v>
          </cell>
        </row>
        <row r="581">
          <cell r="I581">
            <v>1</v>
          </cell>
        </row>
        <row r="581">
          <cell r="M581">
            <v>418060</v>
          </cell>
          <cell r="N581">
            <v>125418</v>
          </cell>
        </row>
        <row r="582">
          <cell r="I582">
            <v>1</v>
          </cell>
        </row>
        <row r="582">
          <cell r="M582">
            <v>418060</v>
          </cell>
          <cell r="N582">
            <v>125418</v>
          </cell>
        </row>
        <row r="583">
          <cell r="I583">
            <v>1</v>
          </cell>
        </row>
        <row r="583">
          <cell r="M583">
            <v>187540</v>
          </cell>
          <cell r="N583">
            <v>56262</v>
          </cell>
        </row>
        <row r="584">
          <cell r="I584">
            <v>1</v>
          </cell>
        </row>
        <row r="584">
          <cell r="M584">
            <v>155900</v>
          </cell>
          <cell r="N584">
            <v>46770</v>
          </cell>
        </row>
        <row r="585">
          <cell r="I585">
            <v>1</v>
          </cell>
        </row>
        <row r="585">
          <cell r="M585">
            <v>108460</v>
          </cell>
          <cell r="N585">
            <v>32538</v>
          </cell>
        </row>
        <row r="586">
          <cell r="I586">
            <v>1</v>
          </cell>
        </row>
        <row r="586">
          <cell r="M586">
            <v>124280</v>
          </cell>
          <cell r="N586">
            <v>37284</v>
          </cell>
        </row>
        <row r="587">
          <cell r="I587">
            <v>1</v>
          </cell>
        </row>
        <row r="587">
          <cell r="M587">
            <v>94900</v>
          </cell>
          <cell r="N587">
            <v>28470</v>
          </cell>
        </row>
        <row r="588">
          <cell r="I588">
            <v>1</v>
          </cell>
        </row>
        <row r="588">
          <cell r="M588">
            <v>384160</v>
          </cell>
          <cell r="N588">
            <v>115248</v>
          </cell>
        </row>
        <row r="589">
          <cell r="I589">
            <v>1</v>
          </cell>
        </row>
        <row r="589">
          <cell r="M589">
            <v>416180</v>
          </cell>
          <cell r="N589">
            <v>124854</v>
          </cell>
        </row>
        <row r="590">
          <cell r="I590">
            <v>1</v>
          </cell>
        </row>
        <row r="590">
          <cell r="M590">
            <v>112980</v>
          </cell>
          <cell r="N590">
            <v>33894</v>
          </cell>
        </row>
        <row r="591">
          <cell r="I591">
            <v>1</v>
          </cell>
        </row>
        <row r="591">
          <cell r="M591">
            <v>112980</v>
          </cell>
          <cell r="N591">
            <v>33894</v>
          </cell>
        </row>
        <row r="592">
          <cell r="I592">
            <v>1</v>
          </cell>
        </row>
        <row r="592">
          <cell r="M592">
            <v>406760</v>
          </cell>
          <cell r="N592">
            <v>122028</v>
          </cell>
        </row>
        <row r="593">
          <cell r="I593">
            <v>1</v>
          </cell>
        </row>
        <row r="593">
          <cell r="M593">
            <v>451960</v>
          </cell>
          <cell r="N593">
            <v>135588</v>
          </cell>
        </row>
        <row r="594">
          <cell r="I594">
            <v>1</v>
          </cell>
        </row>
        <row r="594">
          <cell r="M594">
            <v>372840</v>
          </cell>
          <cell r="N594">
            <v>111852</v>
          </cell>
        </row>
        <row r="595">
          <cell r="I595">
            <v>1</v>
          </cell>
        </row>
        <row r="595">
          <cell r="M595">
            <v>111660</v>
          </cell>
          <cell r="N595">
            <v>33498</v>
          </cell>
        </row>
        <row r="596">
          <cell r="I596">
            <v>1</v>
          </cell>
        </row>
        <row r="596">
          <cell r="M596">
            <v>201840</v>
          </cell>
          <cell r="N596">
            <v>60552</v>
          </cell>
        </row>
        <row r="597">
          <cell r="I597">
            <v>1</v>
          </cell>
        </row>
        <row r="597">
          <cell r="M597">
            <v>451960</v>
          </cell>
          <cell r="N597">
            <v>135588</v>
          </cell>
        </row>
        <row r="598">
          <cell r="I598">
            <v>1</v>
          </cell>
        </row>
        <row r="598">
          <cell r="M598">
            <v>267400</v>
          </cell>
          <cell r="N598">
            <v>80220</v>
          </cell>
        </row>
        <row r="599">
          <cell r="I599">
            <v>1</v>
          </cell>
        </row>
        <row r="599">
          <cell r="M599">
            <v>327680</v>
          </cell>
          <cell r="N599">
            <v>98304</v>
          </cell>
        </row>
        <row r="600">
          <cell r="I600">
            <v>1</v>
          </cell>
        </row>
        <row r="600">
          <cell r="M600">
            <v>338980</v>
          </cell>
          <cell r="N600">
            <v>101694</v>
          </cell>
        </row>
        <row r="601">
          <cell r="I601">
            <v>1</v>
          </cell>
        </row>
        <row r="601">
          <cell r="M601">
            <v>187540</v>
          </cell>
          <cell r="N601">
            <v>56262</v>
          </cell>
        </row>
        <row r="602">
          <cell r="I602">
            <v>1</v>
          </cell>
        </row>
        <row r="602">
          <cell r="M602">
            <v>187540</v>
          </cell>
          <cell r="N602">
            <v>56262</v>
          </cell>
        </row>
        <row r="603">
          <cell r="I603">
            <v>1</v>
          </cell>
        </row>
        <row r="603">
          <cell r="M603">
            <v>187540</v>
          </cell>
          <cell r="N603">
            <v>56262</v>
          </cell>
        </row>
        <row r="604">
          <cell r="I604">
            <v>1</v>
          </cell>
        </row>
        <row r="604">
          <cell r="M604">
            <v>187540</v>
          </cell>
          <cell r="N604">
            <v>56262</v>
          </cell>
        </row>
        <row r="605">
          <cell r="I605">
            <v>1</v>
          </cell>
        </row>
        <row r="605">
          <cell r="M605">
            <v>187540</v>
          </cell>
          <cell r="N605">
            <v>56262</v>
          </cell>
        </row>
        <row r="606">
          <cell r="I606">
            <v>1</v>
          </cell>
        </row>
        <row r="606">
          <cell r="M606">
            <v>188480</v>
          </cell>
          <cell r="N606">
            <v>56544</v>
          </cell>
        </row>
        <row r="607">
          <cell r="I607">
            <v>1</v>
          </cell>
        </row>
        <row r="607">
          <cell r="M607">
            <v>406760</v>
          </cell>
          <cell r="N607">
            <v>122028</v>
          </cell>
        </row>
        <row r="608">
          <cell r="I608">
            <v>1</v>
          </cell>
        </row>
        <row r="608">
          <cell r="M608">
            <v>508460</v>
          </cell>
          <cell r="N608">
            <v>152538</v>
          </cell>
        </row>
        <row r="609">
          <cell r="I609">
            <v>1</v>
          </cell>
        </row>
        <row r="609">
          <cell r="M609">
            <v>395460</v>
          </cell>
          <cell r="N609">
            <v>118638</v>
          </cell>
        </row>
        <row r="610">
          <cell r="I610">
            <v>1</v>
          </cell>
        </row>
        <row r="610">
          <cell r="M610">
            <v>76820</v>
          </cell>
          <cell r="N610">
            <v>23046</v>
          </cell>
        </row>
        <row r="611">
          <cell r="I611">
            <v>1</v>
          </cell>
        </row>
        <row r="611">
          <cell r="M611">
            <v>216560</v>
          </cell>
          <cell r="N611">
            <v>64968</v>
          </cell>
        </row>
        <row r="612">
          <cell r="I612">
            <v>1</v>
          </cell>
        </row>
        <row r="612">
          <cell r="M612">
            <v>113920</v>
          </cell>
          <cell r="N612">
            <v>34176</v>
          </cell>
        </row>
        <row r="613">
          <cell r="I613">
            <v>1</v>
          </cell>
        </row>
        <row r="613">
          <cell r="M613">
            <v>190200</v>
          </cell>
          <cell r="N613">
            <v>57060</v>
          </cell>
        </row>
        <row r="614">
          <cell r="I614">
            <v>1</v>
          </cell>
        </row>
        <row r="614">
          <cell r="M614">
            <v>257620</v>
          </cell>
          <cell r="N614">
            <v>77286</v>
          </cell>
        </row>
        <row r="615">
          <cell r="I615">
            <v>1</v>
          </cell>
        </row>
        <row r="615">
          <cell r="M615">
            <v>374560</v>
          </cell>
          <cell r="N615">
            <v>112368</v>
          </cell>
        </row>
        <row r="616">
          <cell r="I616">
            <v>1</v>
          </cell>
        </row>
        <row r="616">
          <cell r="M616">
            <v>164940</v>
          </cell>
          <cell r="N616">
            <v>49482</v>
          </cell>
        </row>
        <row r="617">
          <cell r="I617">
            <v>1</v>
          </cell>
        </row>
        <row r="617">
          <cell r="M617">
            <v>158160</v>
          </cell>
          <cell r="N617">
            <v>47448</v>
          </cell>
        </row>
        <row r="618">
          <cell r="I618">
            <v>1</v>
          </cell>
        </row>
        <row r="618">
          <cell r="M618">
            <v>427100</v>
          </cell>
          <cell r="N618">
            <v>128130</v>
          </cell>
        </row>
        <row r="619">
          <cell r="I619">
            <v>1</v>
          </cell>
        </row>
        <row r="619">
          <cell r="M619">
            <v>426540</v>
          </cell>
          <cell r="N619">
            <v>127962</v>
          </cell>
        </row>
        <row r="620">
          <cell r="I620">
            <v>1</v>
          </cell>
        </row>
        <row r="620">
          <cell r="M620">
            <v>112980</v>
          </cell>
          <cell r="N620">
            <v>33894</v>
          </cell>
        </row>
        <row r="621">
          <cell r="I621">
            <v>1</v>
          </cell>
        </row>
        <row r="621">
          <cell r="M621">
            <v>112980</v>
          </cell>
          <cell r="N621">
            <v>33894</v>
          </cell>
        </row>
        <row r="622">
          <cell r="I622">
            <v>1</v>
          </cell>
        </row>
        <row r="622">
          <cell r="M622">
            <v>72300</v>
          </cell>
          <cell r="N622">
            <v>21690</v>
          </cell>
        </row>
        <row r="623">
          <cell r="I623">
            <v>1</v>
          </cell>
        </row>
        <row r="623">
          <cell r="M623">
            <v>115140</v>
          </cell>
          <cell r="N623">
            <v>34542</v>
          </cell>
        </row>
        <row r="624">
          <cell r="I624">
            <v>1</v>
          </cell>
        </row>
        <row r="624">
          <cell r="M624">
            <v>372840</v>
          </cell>
          <cell r="N624">
            <v>111852</v>
          </cell>
        </row>
        <row r="625">
          <cell r="I625">
            <v>1</v>
          </cell>
        </row>
        <row r="625">
          <cell r="M625">
            <v>193380</v>
          </cell>
          <cell r="N625">
            <v>58014</v>
          </cell>
        </row>
        <row r="626">
          <cell r="I626">
            <v>1</v>
          </cell>
        </row>
        <row r="626">
          <cell r="M626">
            <v>318260</v>
          </cell>
          <cell r="N626">
            <v>95478</v>
          </cell>
        </row>
        <row r="627">
          <cell r="I627">
            <v>1</v>
          </cell>
        </row>
        <row r="627">
          <cell r="M627">
            <v>106200</v>
          </cell>
          <cell r="N627">
            <v>31860</v>
          </cell>
        </row>
        <row r="628">
          <cell r="I628">
            <v>1</v>
          </cell>
        </row>
        <row r="628">
          <cell r="M628">
            <v>208060</v>
          </cell>
          <cell r="N628">
            <v>62418</v>
          </cell>
        </row>
        <row r="629">
          <cell r="I629">
            <v>1</v>
          </cell>
        </row>
        <row r="629">
          <cell r="M629">
            <v>126540</v>
          </cell>
          <cell r="N629">
            <v>37962</v>
          </cell>
        </row>
        <row r="630">
          <cell r="I630">
            <v>1</v>
          </cell>
        </row>
        <row r="630">
          <cell r="M630">
            <v>291900</v>
          </cell>
          <cell r="N630">
            <v>87570</v>
          </cell>
        </row>
        <row r="631">
          <cell r="I631">
            <v>1</v>
          </cell>
        </row>
        <row r="631">
          <cell r="M631">
            <v>291900</v>
          </cell>
          <cell r="N631">
            <v>87570</v>
          </cell>
        </row>
        <row r="632">
          <cell r="I632">
            <v>1</v>
          </cell>
        </row>
        <row r="632">
          <cell r="M632">
            <v>282480</v>
          </cell>
          <cell r="N632">
            <v>84744</v>
          </cell>
        </row>
        <row r="633">
          <cell r="I633">
            <v>1</v>
          </cell>
        </row>
        <row r="633">
          <cell r="M633">
            <v>187540</v>
          </cell>
          <cell r="N633">
            <v>56262</v>
          </cell>
        </row>
        <row r="634">
          <cell r="I634">
            <v>1</v>
          </cell>
        </row>
        <row r="634">
          <cell r="M634">
            <v>259860</v>
          </cell>
          <cell r="N634">
            <v>77958</v>
          </cell>
        </row>
        <row r="635">
          <cell r="I635">
            <v>1</v>
          </cell>
        </row>
        <row r="635">
          <cell r="M635">
            <v>176240</v>
          </cell>
          <cell r="N635">
            <v>52872</v>
          </cell>
        </row>
        <row r="636">
          <cell r="I636">
            <v>1</v>
          </cell>
        </row>
        <row r="636">
          <cell r="M636">
            <v>149140</v>
          </cell>
          <cell r="N636">
            <v>44742</v>
          </cell>
        </row>
        <row r="637">
          <cell r="I637">
            <v>1</v>
          </cell>
        </row>
        <row r="637">
          <cell r="M637">
            <v>140100</v>
          </cell>
          <cell r="N637">
            <v>42030</v>
          </cell>
        </row>
        <row r="638">
          <cell r="I638">
            <v>1</v>
          </cell>
        </row>
        <row r="638">
          <cell r="M638">
            <v>237280</v>
          </cell>
          <cell r="N638">
            <v>71184</v>
          </cell>
        </row>
        <row r="639">
          <cell r="I639">
            <v>1</v>
          </cell>
        </row>
        <row r="639">
          <cell r="M639">
            <v>406760</v>
          </cell>
          <cell r="N639">
            <v>122028</v>
          </cell>
        </row>
        <row r="640">
          <cell r="I640">
            <v>1</v>
          </cell>
        </row>
        <row r="640">
          <cell r="M640">
            <v>451960</v>
          </cell>
          <cell r="N640">
            <v>135588</v>
          </cell>
        </row>
        <row r="641">
          <cell r="I641">
            <v>1</v>
          </cell>
        </row>
        <row r="641">
          <cell r="M641">
            <v>222760</v>
          </cell>
          <cell r="N641">
            <v>66828</v>
          </cell>
        </row>
        <row r="642">
          <cell r="I642">
            <v>1</v>
          </cell>
        </row>
        <row r="642">
          <cell r="M642">
            <v>208060</v>
          </cell>
          <cell r="N642">
            <v>62418</v>
          </cell>
        </row>
        <row r="643">
          <cell r="I643">
            <v>1</v>
          </cell>
        </row>
        <row r="643">
          <cell r="M643">
            <v>165700</v>
          </cell>
          <cell r="N643">
            <v>49710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4"/>
  <sheetViews>
    <sheetView tabSelected="1" topLeftCell="A207" workbookViewId="0">
      <selection activeCell="H332" sqref="H332"/>
    </sheetView>
  </sheetViews>
  <sheetFormatPr defaultColWidth="9" defaultRowHeight="14.5"/>
  <cols>
    <col min="1" max="1" width="5.70909090909091" customWidth="1"/>
    <col min="2" max="2" width="12.2818181818182" customWidth="1"/>
    <col min="3" max="3" width="18.5727272727273" customWidth="1"/>
    <col min="4" max="4" width="39.7090909090909" customWidth="1"/>
    <col min="5" max="5" width="11.4272727272727" customWidth="1"/>
    <col min="6" max="6" width="7.28181818181818" customWidth="1"/>
    <col min="7" max="7" width="5.28181818181818" style="1" customWidth="1"/>
    <col min="9" max="9" width="3.85454545454545" customWidth="1"/>
    <col min="10" max="10" width="9.85454545454546" customWidth="1"/>
    <col min="11" max="11" width="12.7090909090909" customWidth="1"/>
  </cols>
  <sheetData>
    <row r="1" ht="23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2" t="s">
        <v>9</v>
      </c>
      <c r="K1" s="12" t="s">
        <v>10</v>
      </c>
      <c r="L1" s="3" t="s">
        <v>11</v>
      </c>
    </row>
    <row r="2" spans="1:12">
      <c r="A2" s="4"/>
      <c r="B2" s="5"/>
      <c r="C2" s="5"/>
      <c r="D2" s="6" t="s">
        <v>12</v>
      </c>
      <c r="E2" s="5"/>
      <c r="F2" s="7"/>
      <c r="G2" s="7"/>
      <c r="H2" s="5"/>
      <c r="I2" s="13"/>
      <c r="J2" s="14"/>
      <c r="K2" s="14"/>
      <c r="L2" s="5"/>
    </row>
    <row r="3" ht="51" customHeight="1" spans="1:12">
      <c r="A3" s="8"/>
      <c r="B3" s="9"/>
      <c r="C3" s="9"/>
      <c r="D3" s="10" t="s">
        <v>13</v>
      </c>
      <c r="E3" s="9"/>
      <c r="F3" s="11"/>
      <c r="G3" s="11"/>
      <c r="H3" s="9"/>
      <c r="I3" s="15"/>
      <c r="J3" s="16"/>
      <c r="K3" s="16"/>
      <c r="L3" s="9"/>
    </row>
    <row r="4" ht="34.5" spans="1:12">
      <c r="A4" s="8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11" t="s">
        <v>19</v>
      </c>
      <c r="G4" s="11" t="s">
        <v>20</v>
      </c>
      <c r="H4" s="9" t="s">
        <v>21</v>
      </c>
      <c r="I4" s="15">
        <v>1</v>
      </c>
      <c r="J4" s="17">
        <f>[1]Detail!M4+[1]Detail!N4</f>
        <v>212992</v>
      </c>
      <c r="K4" s="17">
        <f>J4*[1]Detail!I4</f>
        <v>212992</v>
      </c>
      <c r="L4" s="9"/>
    </row>
    <row r="5" ht="23" spans="1:12">
      <c r="A5" s="8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11" t="s">
        <v>19</v>
      </c>
      <c r="G5" s="11" t="s">
        <v>20</v>
      </c>
      <c r="H5" s="9" t="s">
        <v>21</v>
      </c>
      <c r="I5" s="15">
        <v>1</v>
      </c>
      <c r="J5" s="17">
        <f>[1]Detail!M5+[1]Detail!N5</f>
        <v>241150</v>
      </c>
      <c r="K5" s="17">
        <f>J5*[1]Detail!I5</f>
        <v>241150</v>
      </c>
      <c r="L5" s="9"/>
    </row>
    <row r="6" ht="23" spans="1:12">
      <c r="A6" s="8" t="s">
        <v>27</v>
      </c>
      <c r="B6" s="9" t="s">
        <v>28</v>
      </c>
      <c r="C6" s="9" t="s">
        <v>24</v>
      </c>
      <c r="D6" s="9" t="s">
        <v>29</v>
      </c>
      <c r="E6" s="9" t="s">
        <v>26</v>
      </c>
      <c r="F6" s="11" t="s">
        <v>19</v>
      </c>
      <c r="G6" s="11" t="s">
        <v>20</v>
      </c>
      <c r="H6" s="9" t="s">
        <v>21</v>
      </c>
      <c r="I6" s="15">
        <v>1</v>
      </c>
      <c r="J6" s="17">
        <f>[1]Detail!M6+[1]Detail!N6</f>
        <v>241150</v>
      </c>
      <c r="K6" s="17">
        <f>J6*[1]Detail!I6</f>
        <v>241150</v>
      </c>
      <c r="L6" s="9"/>
    </row>
    <row r="7" ht="34.5" spans="1:12">
      <c r="A7" s="8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11" t="s">
        <v>35</v>
      </c>
      <c r="G7" s="11" t="s">
        <v>36</v>
      </c>
      <c r="H7" s="9" t="s">
        <v>21</v>
      </c>
      <c r="I7" s="15">
        <v>1</v>
      </c>
      <c r="J7" s="17">
        <f>[1]Detail!M7+[1]Detail!N7</f>
        <v>431860</v>
      </c>
      <c r="K7" s="17">
        <f>J7*[1]Detail!I7</f>
        <v>431860</v>
      </c>
      <c r="L7" s="9"/>
    </row>
    <row r="8" ht="23" spans="1:12">
      <c r="A8" s="8" t="s">
        <v>37</v>
      </c>
      <c r="B8" s="9" t="s">
        <v>38</v>
      </c>
      <c r="C8" s="9" t="s">
        <v>39</v>
      </c>
      <c r="D8" s="9" t="s">
        <v>40</v>
      </c>
      <c r="E8" s="9" t="s">
        <v>26</v>
      </c>
      <c r="F8" s="11" t="s">
        <v>19</v>
      </c>
      <c r="G8" s="11" t="s">
        <v>41</v>
      </c>
      <c r="H8" s="9" t="s">
        <v>42</v>
      </c>
      <c r="I8" s="15">
        <v>1</v>
      </c>
      <c r="J8" s="17">
        <f>[1]Detail!M8+[1]Detail!N8</f>
        <v>328042</v>
      </c>
      <c r="K8" s="17">
        <f>J8*[1]Detail!I8</f>
        <v>328042</v>
      </c>
      <c r="L8" s="9"/>
    </row>
    <row r="9" ht="46" spans="1:12">
      <c r="A9" s="8" t="s">
        <v>43</v>
      </c>
      <c r="B9" s="9" t="s">
        <v>44</v>
      </c>
      <c r="C9" s="9" t="s">
        <v>45</v>
      </c>
      <c r="D9" s="9" t="s">
        <v>46</v>
      </c>
      <c r="E9" s="9" t="s">
        <v>47</v>
      </c>
      <c r="F9" s="11" t="s">
        <v>48</v>
      </c>
      <c r="G9" s="11" t="s">
        <v>20</v>
      </c>
      <c r="H9" s="9" t="s">
        <v>21</v>
      </c>
      <c r="I9" s="15">
        <v>1</v>
      </c>
      <c r="J9" s="17">
        <f>[1]Detail!M9+[1]Detail!N9</f>
        <v>394524</v>
      </c>
      <c r="K9" s="17">
        <f>J9*[1]Detail!I9</f>
        <v>394524</v>
      </c>
      <c r="L9" s="9"/>
    </row>
    <row r="10" ht="23" spans="1:12">
      <c r="A10" s="8" t="s">
        <v>49</v>
      </c>
      <c r="B10" s="9" t="s">
        <v>50</v>
      </c>
      <c r="C10" s="9" t="s">
        <v>51</v>
      </c>
      <c r="D10" s="9" t="s">
        <v>52</v>
      </c>
      <c r="E10" s="9" t="s">
        <v>53</v>
      </c>
      <c r="F10" s="11" t="s">
        <v>54</v>
      </c>
      <c r="G10" s="11" t="s">
        <v>20</v>
      </c>
      <c r="H10" s="9" t="s">
        <v>21</v>
      </c>
      <c r="I10" s="15">
        <v>1</v>
      </c>
      <c r="J10" s="17">
        <f>[1]Detail!M10+[1]Detail!N10</f>
        <v>312364</v>
      </c>
      <c r="K10" s="17">
        <f>J10*[1]Detail!I10</f>
        <v>312364</v>
      </c>
      <c r="L10" s="9"/>
    </row>
    <row r="11" ht="34.5" spans="1:12">
      <c r="A11" s="8" t="s">
        <v>55</v>
      </c>
      <c r="B11" s="9" t="s">
        <v>56</v>
      </c>
      <c r="C11" s="9" t="s">
        <v>57</v>
      </c>
      <c r="D11" s="9" t="s">
        <v>58</v>
      </c>
      <c r="E11" s="9" t="s">
        <v>26</v>
      </c>
      <c r="F11" s="11" t="s">
        <v>19</v>
      </c>
      <c r="G11" s="11" t="s">
        <v>41</v>
      </c>
      <c r="H11" s="9" t="s">
        <v>42</v>
      </c>
      <c r="I11" s="15">
        <v>1</v>
      </c>
      <c r="J11" s="17">
        <f>[1]Detail!M11+[1]Detail!N11</f>
        <v>328042</v>
      </c>
      <c r="K11" s="17">
        <f>J11*[1]Detail!I11</f>
        <v>328042</v>
      </c>
      <c r="L11" s="9"/>
    </row>
    <row r="12" ht="23" spans="1:12">
      <c r="A12" s="8" t="s">
        <v>59</v>
      </c>
      <c r="B12" s="9" t="s">
        <v>60</v>
      </c>
      <c r="C12" s="9" t="s">
        <v>61</v>
      </c>
      <c r="D12" s="9" t="s">
        <v>62</v>
      </c>
      <c r="E12" s="9" t="s">
        <v>63</v>
      </c>
      <c r="F12" s="11" t="s">
        <v>19</v>
      </c>
      <c r="G12" s="11" t="s">
        <v>36</v>
      </c>
      <c r="H12" s="9" t="s">
        <v>42</v>
      </c>
      <c r="I12" s="15">
        <v>1</v>
      </c>
      <c r="J12" s="17">
        <f>[1]Detail!M12+[1]Detail!N12</f>
        <v>162292</v>
      </c>
      <c r="K12" s="17">
        <f>J12*[1]Detail!I12</f>
        <v>162292</v>
      </c>
      <c r="L12" s="9"/>
    </row>
    <row r="13" ht="34.5" spans="1:12">
      <c r="A13" s="8" t="s">
        <v>64</v>
      </c>
      <c r="B13" s="9" t="s">
        <v>65</v>
      </c>
      <c r="C13" s="9" t="s">
        <v>66</v>
      </c>
      <c r="D13" s="9" t="s">
        <v>67</v>
      </c>
      <c r="E13" s="9" t="s">
        <v>18</v>
      </c>
      <c r="F13" s="11" t="s">
        <v>19</v>
      </c>
      <c r="G13" s="11" t="s">
        <v>20</v>
      </c>
      <c r="H13" s="9" t="s">
        <v>42</v>
      </c>
      <c r="I13" s="15">
        <v>1</v>
      </c>
      <c r="J13" s="17">
        <f>[1]Detail!M13+[1]Detail!N13</f>
        <v>226070</v>
      </c>
      <c r="K13" s="17">
        <f>J13*[1]Detail!I13</f>
        <v>226070</v>
      </c>
      <c r="L13" s="9"/>
    </row>
    <row r="14" ht="23" spans="1:12">
      <c r="A14" s="8" t="s">
        <v>68</v>
      </c>
      <c r="B14" s="9" t="s">
        <v>69</v>
      </c>
      <c r="C14" s="9" t="s">
        <v>70</v>
      </c>
      <c r="D14" s="9" t="s">
        <v>71</v>
      </c>
      <c r="E14" s="9" t="s">
        <v>63</v>
      </c>
      <c r="F14" s="11" t="s">
        <v>19</v>
      </c>
      <c r="G14" s="11" t="s">
        <v>41</v>
      </c>
      <c r="H14" s="9" t="s">
        <v>42</v>
      </c>
      <c r="I14" s="15">
        <v>1</v>
      </c>
      <c r="J14" s="17">
        <f>[1]Detail!M14+[1]Detail!N14</f>
        <v>146380</v>
      </c>
      <c r="K14" s="17">
        <f>J14*[1]Detail!I14</f>
        <v>146380</v>
      </c>
      <c r="L14" s="9"/>
    </row>
    <row r="15" ht="57.5" spans="1:12">
      <c r="A15" s="8" t="s">
        <v>72</v>
      </c>
      <c r="B15" s="9" t="s">
        <v>73</v>
      </c>
      <c r="C15" s="9" t="s">
        <v>74</v>
      </c>
      <c r="D15" s="9" t="s">
        <v>75</v>
      </c>
      <c r="E15" s="9" t="s">
        <v>76</v>
      </c>
      <c r="F15" s="11" t="s">
        <v>54</v>
      </c>
      <c r="G15" s="11" t="s">
        <v>20</v>
      </c>
      <c r="H15" s="9" t="s">
        <v>21</v>
      </c>
      <c r="I15" s="15">
        <v>1</v>
      </c>
      <c r="J15" s="17">
        <f>[1]Detail!M15+[1]Detail!N15</f>
        <v>337844</v>
      </c>
      <c r="K15" s="17">
        <f>J15*[1]Detail!I15</f>
        <v>337844</v>
      </c>
      <c r="L15" s="9"/>
    </row>
    <row r="16" ht="46" spans="1:12">
      <c r="A16" s="8" t="s">
        <v>77</v>
      </c>
      <c r="B16" s="9" t="s">
        <v>78</v>
      </c>
      <c r="C16" s="9" t="s">
        <v>79</v>
      </c>
      <c r="D16" s="9" t="s">
        <v>80</v>
      </c>
      <c r="E16" s="9" t="s">
        <v>53</v>
      </c>
      <c r="F16" s="11" t="s">
        <v>54</v>
      </c>
      <c r="G16" s="11" t="s">
        <v>20</v>
      </c>
      <c r="H16" s="9" t="s">
        <v>42</v>
      </c>
      <c r="I16" s="15">
        <v>1</v>
      </c>
      <c r="J16" s="17">
        <f>[1]Detail!M16+[1]Detail!N16</f>
        <v>88842</v>
      </c>
      <c r="K16" s="17">
        <f>J16*[1]Detail!I16</f>
        <v>88842</v>
      </c>
      <c r="L16" s="9"/>
    </row>
    <row r="17" ht="23" spans="1:12">
      <c r="A17" s="8" t="s">
        <v>81</v>
      </c>
      <c r="B17" s="9" t="s">
        <v>82</v>
      </c>
      <c r="C17" s="9" t="s">
        <v>83</v>
      </c>
      <c r="D17" s="9" t="s">
        <v>84</v>
      </c>
      <c r="E17" s="9" t="s">
        <v>85</v>
      </c>
      <c r="F17" s="11" t="s">
        <v>35</v>
      </c>
      <c r="G17" s="11" t="s">
        <v>41</v>
      </c>
      <c r="H17" s="9" t="s">
        <v>21</v>
      </c>
      <c r="I17" s="15">
        <v>1</v>
      </c>
      <c r="J17" s="17">
        <f>[1]Detail!M17+[1]Detail!N17</f>
        <v>461474</v>
      </c>
      <c r="K17" s="17">
        <f>J17*[1]Detail!I17</f>
        <v>461474</v>
      </c>
      <c r="L17" s="9"/>
    </row>
    <row r="18" ht="34.5" spans="1:12">
      <c r="A18" s="8" t="s">
        <v>86</v>
      </c>
      <c r="B18" s="9" t="s">
        <v>87</v>
      </c>
      <c r="C18" s="9" t="s">
        <v>88</v>
      </c>
      <c r="D18" s="9" t="s">
        <v>89</v>
      </c>
      <c r="E18" s="9" t="s">
        <v>26</v>
      </c>
      <c r="F18" s="11" t="s">
        <v>19</v>
      </c>
      <c r="G18" s="11" t="s">
        <v>41</v>
      </c>
      <c r="H18" s="9" t="s">
        <v>42</v>
      </c>
      <c r="I18" s="15">
        <v>1</v>
      </c>
      <c r="J18" s="17">
        <f>[1]Detail!M18+[1]Detail!N18</f>
        <v>220324</v>
      </c>
      <c r="K18" s="17">
        <f>J18*[1]Detail!I18</f>
        <v>220324</v>
      </c>
      <c r="L18" s="9"/>
    </row>
    <row r="19" ht="34.5" spans="1:12">
      <c r="A19" s="8" t="s">
        <v>90</v>
      </c>
      <c r="B19" s="9" t="s">
        <v>91</v>
      </c>
      <c r="C19" s="9" t="s">
        <v>92</v>
      </c>
      <c r="D19" s="9" t="s">
        <v>93</v>
      </c>
      <c r="E19" s="9" t="s">
        <v>18</v>
      </c>
      <c r="F19" s="11" t="s">
        <v>19</v>
      </c>
      <c r="G19" s="11" t="s">
        <v>36</v>
      </c>
      <c r="H19" s="9" t="s">
        <v>42</v>
      </c>
      <c r="I19" s="15">
        <v>1</v>
      </c>
      <c r="J19" s="17">
        <f>[1]Detail!M19+[1]Detail!N19</f>
        <v>305526</v>
      </c>
      <c r="K19" s="17">
        <f>J19*[1]Detail!I19</f>
        <v>305526</v>
      </c>
      <c r="L19" s="9"/>
    </row>
    <row r="20" spans="1:12">
      <c r="A20" s="8" t="s">
        <v>94</v>
      </c>
      <c r="B20" s="9" t="s">
        <v>95</v>
      </c>
      <c r="C20" s="9" t="s">
        <v>96</v>
      </c>
      <c r="D20" s="9" t="s">
        <v>97</v>
      </c>
      <c r="E20" s="9" t="s">
        <v>76</v>
      </c>
      <c r="F20" s="11" t="s">
        <v>54</v>
      </c>
      <c r="G20" s="11" t="s">
        <v>20</v>
      </c>
      <c r="H20" s="9" t="s">
        <v>21</v>
      </c>
      <c r="I20" s="15">
        <v>1</v>
      </c>
      <c r="J20" s="17">
        <f>[1]Detail!M20+[1]Detail!N20</f>
        <v>145158</v>
      </c>
      <c r="K20" s="17">
        <f>J20*[1]Detail!I20</f>
        <v>145158</v>
      </c>
      <c r="L20" s="9"/>
    </row>
    <row r="21" ht="23" spans="1:12">
      <c r="A21" s="8" t="s">
        <v>98</v>
      </c>
      <c r="B21" s="9" t="s">
        <v>99</v>
      </c>
      <c r="C21" s="9" t="s">
        <v>100</v>
      </c>
      <c r="D21" s="9" t="s">
        <v>101</v>
      </c>
      <c r="E21" s="9" t="s">
        <v>26</v>
      </c>
      <c r="F21" s="11" t="s">
        <v>19</v>
      </c>
      <c r="G21" s="11" t="s">
        <v>20</v>
      </c>
      <c r="H21" s="9" t="s">
        <v>42</v>
      </c>
      <c r="I21" s="15">
        <v>1</v>
      </c>
      <c r="J21" s="17">
        <f>[1]Detail!M21+[1]Detail!N21</f>
        <v>347620</v>
      </c>
      <c r="K21" s="17">
        <f>J21*[1]Detail!I21</f>
        <v>347620</v>
      </c>
      <c r="L21" s="9"/>
    </row>
    <row r="22" ht="23" spans="1:12">
      <c r="A22" s="8" t="s">
        <v>102</v>
      </c>
      <c r="B22" s="9" t="s">
        <v>103</v>
      </c>
      <c r="C22" s="9" t="s">
        <v>104</v>
      </c>
      <c r="D22" s="9" t="s">
        <v>105</v>
      </c>
      <c r="E22" s="9" t="s">
        <v>85</v>
      </c>
      <c r="F22" s="11" t="s">
        <v>35</v>
      </c>
      <c r="G22" s="11" t="s">
        <v>41</v>
      </c>
      <c r="H22" s="9" t="s">
        <v>21</v>
      </c>
      <c r="I22" s="15">
        <v>1</v>
      </c>
      <c r="J22" s="17">
        <f>[1]Detail!M22+[1]Detail!N22</f>
        <v>461474</v>
      </c>
      <c r="K22" s="17">
        <f>J22*[1]Detail!I22</f>
        <v>461474</v>
      </c>
      <c r="L22" s="9"/>
    </row>
    <row r="23" ht="23" spans="1:12">
      <c r="A23" s="8" t="s">
        <v>106</v>
      </c>
      <c r="B23" s="9" t="s">
        <v>107</v>
      </c>
      <c r="C23" s="9" t="s">
        <v>108</v>
      </c>
      <c r="D23" s="9" t="s">
        <v>109</v>
      </c>
      <c r="E23" s="9" t="s">
        <v>34</v>
      </c>
      <c r="F23" s="11" t="s">
        <v>35</v>
      </c>
      <c r="G23" s="11" t="s">
        <v>36</v>
      </c>
      <c r="H23" s="9" t="s">
        <v>21</v>
      </c>
      <c r="I23" s="15">
        <v>1</v>
      </c>
      <c r="J23" s="17">
        <f>[1]Detail!M23+[1]Detail!N23</f>
        <v>440674</v>
      </c>
      <c r="K23" s="17">
        <f>J23*[1]Detail!I23</f>
        <v>440674</v>
      </c>
      <c r="L23" s="9"/>
    </row>
    <row r="24" ht="23" spans="1:12">
      <c r="A24" s="8" t="s">
        <v>110</v>
      </c>
      <c r="B24" s="9" t="s">
        <v>111</v>
      </c>
      <c r="C24" s="9" t="s">
        <v>112</v>
      </c>
      <c r="D24" s="9" t="s">
        <v>113</v>
      </c>
      <c r="E24" s="9" t="s">
        <v>76</v>
      </c>
      <c r="F24" s="11" t="s">
        <v>54</v>
      </c>
      <c r="G24" s="11" t="s">
        <v>41</v>
      </c>
      <c r="H24" s="9" t="s">
        <v>21</v>
      </c>
      <c r="I24" s="15">
        <v>1</v>
      </c>
      <c r="J24" s="17">
        <f>[1]Detail!M24+[1]Detail!N24</f>
        <v>851942</v>
      </c>
      <c r="K24" s="17">
        <f>J24*[1]Detail!I24</f>
        <v>851942</v>
      </c>
      <c r="L24" s="9"/>
    </row>
    <row r="25" ht="23" spans="1:12">
      <c r="A25" s="8" t="s">
        <v>114</v>
      </c>
      <c r="B25" s="9" t="s">
        <v>115</v>
      </c>
      <c r="C25" s="9" t="s">
        <v>112</v>
      </c>
      <c r="D25" s="9" t="s">
        <v>113</v>
      </c>
      <c r="E25" s="9" t="s">
        <v>76</v>
      </c>
      <c r="F25" s="11" t="s">
        <v>54</v>
      </c>
      <c r="G25" s="11" t="s">
        <v>41</v>
      </c>
      <c r="H25" s="9" t="s">
        <v>42</v>
      </c>
      <c r="I25" s="15">
        <v>1</v>
      </c>
      <c r="J25" s="17">
        <f>[1]Detail!M25+[1]Detail!N25</f>
        <v>264368</v>
      </c>
      <c r="K25" s="17">
        <f>J25*[1]Detail!I25</f>
        <v>264368</v>
      </c>
      <c r="L25" s="9"/>
    </row>
    <row r="26" ht="46" spans="1:12">
      <c r="A26" s="8" t="s">
        <v>116</v>
      </c>
      <c r="B26" s="9" t="s">
        <v>117</v>
      </c>
      <c r="C26" s="9" t="s">
        <v>118</v>
      </c>
      <c r="D26" s="9" t="s">
        <v>119</v>
      </c>
      <c r="E26" s="9" t="s">
        <v>76</v>
      </c>
      <c r="F26" s="11" t="s">
        <v>54</v>
      </c>
      <c r="G26" s="11" t="s">
        <v>36</v>
      </c>
      <c r="H26" s="9" t="s">
        <v>21</v>
      </c>
      <c r="I26" s="15">
        <v>1</v>
      </c>
      <c r="J26" s="17">
        <f>[1]Detail!M26+[1]Detail!N26</f>
        <v>837252</v>
      </c>
      <c r="K26" s="17">
        <f>J26*[1]Detail!I26</f>
        <v>837252</v>
      </c>
      <c r="L26" s="9"/>
    </row>
    <row r="27" ht="92" spans="1:12">
      <c r="A27" s="8" t="s">
        <v>120</v>
      </c>
      <c r="B27" s="9" t="s">
        <v>121</v>
      </c>
      <c r="C27" s="9" t="s">
        <v>122</v>
      </c>
      <c r="D27" s="9" t="s">
        <v>123</v>
      </c>
      <c r="E27" s="9" t="s">
        <v>124</v>
      </c>
      <c r="F27" s="11" t="s">
        <v>19</v>
      </c>
      <c r="G27" s="11" t="s">
        <v>36</v>
      </c>
      <c r="H27" s="9" t="s">
        <v>42</v>
      </c>
      <c r="I27" s="15">
        <v>1</v>
      </c>
      <c r="J27" s="17">
        <f>[1]Detail!M27+[1]Detail!N27</f>
        <v>86944</v>
      </c>
      <c r="K27" s="17">
        <f>J27*[1]Detail!I27</f>
        <v>86944</v>
      </c>
      <c r="L27" s="9"/>
    </row>
    <row r="28" ht="23" spans="1:12">
      <c r="A28" s="8" t="s">
        <v>125</v>
      </c>
      <c r="B28" s="9" t="s">
        <v>126</v>
      </c>
      <c r="C28" s="9" t="s">
        <v>127</v>
      </c>
      <c r="D28" s="9" t="s">
        <v>128</v>
      </c>
      <c r="E28" s="9" t="s">
        <v>63</v>
      </c>
      <c r="F28" s="11" t="s">
        <v>19</v>
      </c>
      <c r="G28" s="11" t="s">
        <v>20</v>
      </c>
      <c r="H28" s="9" t="s">
        <v>42</v>
      </c>
      <c r="I28" s="15">
        <v>1</v>
      </c>
      <c r="J28" s="17">
        <f>[1]Detail!M28+[1]Detail!N28</f>
        <v>136838</v>
      </c>
      <c r="K28" s="17">
        <f>J28*[1]Detail!I28</f>
        <v>136838</v>
      </c>
      <c r="L28" s="9"/>
    </row>
    <row r="29" ht="57.5" spans="1:12">
      <c r="A29" s="8" t="s">
        <v>129</v>
      </c>
      <c r="B29" s="9" t="s">
        <v>130</v>
      </c>
      <c r="C29" s="9" t="s">
        <v>131</v>
      </c>
      <c r="D29" s="9" t="s">
        <v>132</v>
      </c>
      <c r="E29" s="9" t="s">
        <v>18</v>
      </c>
      <c r="F29" s="11" t="s">
        <v>19</v>
      </c>
      <c r="G29" s="11" t="s">
        <v>20</v>
      </c>
      <c r="H29" s="9" t="s">
        <v>21</v>
      </c>
      <c r="I29" s="15">
        <v>1</v>
      </c>
      <c r="J29" s="17">
        <f>[1]Detail!M29+[1]Detail!N29</f>
        <v>528788</v>
      </c>
      <c r="K29" s="17">
        <f>J29*[1]Detail!I29</f>
        <v>528788</v>
      </c>
      <c r="L29" s="9"/>
    </row>
    <row r="30" ht="57.5" spans="1:12">
      <c r="A30" s="8" t="s">
        <v>133</v>
      </c>
      <c r="B30" s="9" t="s">
        <v>134</v>
      </c>
      <c r="C30" s="9" t="s">
        <v>135</v>
      </c>
      <c r="D30" s="9" t="s">
        <v>136</v>
      </c>
      <c r="E30" s="9" t="s">
        <v>76</v>
      </c>
      <c r="F30" s="11" t="s">
        <v>54</v>
      </c>
      <c r="G30" s="11" t="s">
        <v>20</v>
      </c>
      <c r="H30" s="9" t="s">
        <v>21</v>
      </c>
      <c r="I30" s="15">
        <v>1</v>
      </c>
      <c r="J30" s="17">
        <f>[1]Detail!M30+[1]Detail!N30</f>
        <v>499408</v>
      </c>
      <c r="K30" s="17">
        <f>J30*[1]Detail!I30</f>
        <v>499408</v>
      </c>
      <c r="L30" s="9"/>
    </row>
    <row r="31" ht="46" spans="1:12">
      <c r="A31" s="8" t="s">
        <v>137</v>
      </c>
      <c r="B31" s="9" t="s">
        <v>138</v>
      </c>
      <c r="C31" s="9" t="s">
        <v>139</v>
      </c>
      <c r="D31" s="9" t="s">
        <v>140</v>
      </c>
      <c r="E31" s="9" t="s">
        <v>53</v>
      </c>
      <c r="F31" s="11" t="s">
        <v>54</v>
      </c>
      <c r="G31" s="11" t="s">
        <v>41</v>
      </c>
      <c r="H31" s="9" t="s">
        <v>42</v>
      </c>
      <c r="I31" s="15">
        <v>1</v>
      </c>
      <c r="J31" s="17">
        <f>[1]Detail!M31+[1]Detail!N31</f>
        <v>148096</v>
      </c>
      <c r="K31" s="17">
        <f>J31*[1]Detail!I31</f>
        <v>148096</v>
      </c>
      <c r="L31" s="9"/>
    </row>
    <row r="32" ht="34.5" spans="1:12">
      <c r="A32" s="8" t="s">
        <v>141</v>
      </c>
      <c r="B32" s="9" t="s">
        <v>142</v>
      </c>
      <c r="C32" s="9" t="s">
        <v>143</v>
      </c>
      <c r="D32" s="9" t="s">
        <v>144</v>
      </c>
      <c r="E32" s="9" t="s">
        <v>53</v>
      </c>
      <c r="F32" s="11" t="s">
        <v>54</v>
      </c>
      <c r="G32" s="11" t="s">
        <v>20</v>
      </c>
      <c r="H32" s="9" t="s">
        <v>42</v>
      </c>
      <c r="I32" s="15">
        <v>1</v>
      </c>
      <c r="J32" s="17">
        <f>[1]Detail!M32+[1]Detail!N32</f>
        <v>218114</v>
      </c>
      <c r="K32" s="17">
        <f>J32*[1]Detail!I32</f>
        <v>218114</v>
      </c>
      <c r="L32" s="9"/>
    </row>
    <row r="33" ht="23" spans="1:12">
      <c r="A33" s="8" t="s">
        <v>145</v>
      </c>
      <c r="B33" s="9" t="s">
        <v>146</v>
      </c>
      <c r="C33" s="9" t="s">
        <v>147</v>
      </c>
      <c r="D33" s="9" t="s">
        <v>148</v>
      </c>
      <c r="E33" s="9" t="s">
        <v>26</v>
      </c>
      <c r="F33" s="11" t="s">
        <v>19</v>
      </c>
      <c r="G33" s="11" t="s">
        <v>20</v>
      </c>
      <c r="H33" s="9" t="s">
        <v>42</v>
      </c>
      <c r="I33" s="15">
        <v>1</v>
      </c>
      <c r="J33" s="17">
        <f>[1]Detail!M33+[1]Detail!N33</f>
        <v>337818</v>
      </c>
      <c r="K33" s="17">
        <f>J33*[1]Detail!I33</f>
        <v>337818</v>
      </c>
      <c r="L33" s="9"/>
    </row>
    <row r="34" ht="34.5" spans="1:12">
      <c r="A34" s="8" t="s">
        <v>149</v>
      </c>
      <c r="B34" s="9" t="s">
        <v>150</v>
      </c>
      <c r="C34" s="9" t="s">
        <v>151</v>
      </c>
      <c r="D34" s="9" t="s">
        <v>152</v>
      </c>
      <c r="E34" s="9" t="s">
        <v>76</v>
      </c>
      <c r="F34" s="11" t="s">
        <v>54</v>
      </c>
      <c r="G34" s="11" t="s">
        <v>20</v>
      </c>
      <c r="H34" s="9" t="s">
        <v>21</v>
      </c>
      <c r="I34" s="15">
        <v>1</v>
      </c>
      <c r="J34" s="17">
        <f>[1]Detail!M34+[1]Detail!N34</f>
        <v>381914</v>
      </c>
      <c r="K34" s="17">
        <f>J34*[1]Detail!I34</f>
        <v>381914</v>
      </c>
      <c r="L34" s="9"/>
    </row>
    <row r="35" ht="34.5" spans="1:12">
      <c r="A35" s="8" t="s">
        <v>153</v>
      </c>
      <c r="B35" s="9" t="s">
        <v>154</v>
      </c>
      <c r="C35" s="9" t="s">
        <v>155</v>
      </c>
      <c r="D35" s="9" t="s">
        <v>156</v>
      </c>
      <c r="E35" s="9" t="s">
        <v>76</v>
      </c>
      <c r="F35" s="11" t="s">
        <v>54</v>
      </c>
      <c r="G35" s="11" t="s">
        <v>41</v>
      </c>
      <c r="H35" s="9" t="s">
        <v>21</v>
      </c>
      <c r="I35" s="15">
        <v>1</v>
      </c>
      <c r="J35" s="17">
        <f>[1]Detail!M35+[1]Detail!N35</f>
        <v>514098</v>
      </c>
      <c r="K35" s="17">
        <f>J35*[1]Detail!I35</f>
        <v>514098</v>
      </c>
      <c r="L35" s="9"/>
    </row>
    <row r="36" ht="23" spans="1:12">
      <c r="A36" s="8" t="s">
        <v>157</v>
      </c>
      <c r="B36" s="9" t="s">
        <v>158</v>
      </c>
      <c r="C36" s="9" t="s">
        <v>159</v>
      </c>
      <c r="D36" s="9" t="s">
        <v>160</v>
      </c>
      <c r="E36" s="9" t="s">
        <v>161</v>
      </c>
      <c r="F36" s="11" t="s">
        <v>162</v>
      </c>
      <c r="G36" s="11" t="s">
        <v>20</v>
      </c>
      <c r="H36" s="9" t="s">
        <v>21</v>
      </c>
      <c r="I36" s="15">
        <v>1</v>
      </c>
      <c r="J36" s="17">
        <f>[1]Detail!M36+[1]Detail!N36</f>
        <v>296192</v>
      </c>
      <c r="K36" s="17">
        <f>J36*[1]Detail!I36</f>
        <v>296192</v>
      </c>
      <c r="L36" s="9"/>
    </row>
    <row r="37" ht="46" spans="1:12">
      <c r="A37" s="8" t="s">
        <v>163</v>
      </c>
      <c r="B37" s="9" t="s">
        <v>164</v>
      </c>
      <c r="C37" s="9" t="s">
        <v>165</v>
      </c>
      <c r="D37" s="9" t="s">
        <v>166</v>
      </c>
      <c r="E37" s="9" t="s">
        <v>76</v>
      </c>
      <c r="F37" s="11" t="s">
        <v>54</v>
      </c>
      <c r="G37" s="11" t="s">
        <v>20</v>
      </c>
      <c r="H37" s="9" t="s">
        <v>42</v>
      </c>
      <c r="I37" s="15">
        <v>1</v>
      </c>
      <c r="J37" s="17">
        <f>[1]Detail!M37+[1]Detail!N37</f>
        <v>155688</v>
      </c>
      <c r="K37" s="17">
        <f>J37*[1]Detail!I37</f>
        <v>155688</v>
      </c>
      <c r="L37" s="9"/>
    </row>
    <row r="38" ht="34.5" spans="1:12">
      <c r="A38" s="8" t="s">
        <v>167</v>
      </c>
      <c r="B38" s="9" t="s">
        <v>168</v>
      </c>
      <c r="C38" s="9" t="s">
        <v>169</v>
      </c>
      <c r="D38" s="9" t="s">
        <v>170</v>
      </c>
      <c r="E38" s="9" t="s">
        <v>76</v>
      </c>
      <c r="F38" s="11" t="s">
        <v>54</v>
      </c>
      <c r="G38" s="11" t="s">
        <v>41</v>
      </c>
      <c r="H38" s="9" t="s">
        <v>21</v>
      </c>
      <c r="I38" s="15">
        <v>1</v>
      </c>
      <c r="J38" s="17">
        <f>[1]Detail!M38+[1]Detail!N38</f>
        <v>337844</v>
      </c>
      <c r="K38" s="17">
        <f>J38*[1]Detail!I38</f>
        <v>337844</v>
      </c>
      <c r="L38" s="9"/>
    </row>
    <row r="39" ht="23" spans="1:12">
      <c r="A39" s="8" t="s">
        <v>171</v>
      </c>
      <c r="B39" s="9" t="s">
        <v>172</v>
      </c>
      <c r="C39" s="9" t="s">
        <v>173</v>
      </c>
      <c r="D39" s="9" t="s">
        <v>174</v>
      </c>
      <c r="E39" s="9" t="s">
        <v>76</v>
      </c>
      <c r="F39" s="11" t="s">
        <v>54</v>
      </c>
      <c r="G39" s="11" t="s">
        <v>36</v>
      </c>
      <c r="H39" s="9" t="s">
        <v>42</v>
      </c>
      <c r="I39" s="15">
        <v>1</v>
      </c>
      <c r="J39" s="17">
        <f>[1]Detail!M39+[1]Detail!N39</f>
        <v>193882</v>
      </c>
      <c r="K39" s="17">
        <f>J39*[1]Detail!I39</f>
        <v>193882</v>
      </c>
      <c r="L39" s="9"/>
    </row>
    <row r="40" ht="46" spans="1:12">
      <c r="A40" s="8" t="s">
        <v>175</v>
      </c>
      <c r="B40" s="9" t="s">
        <v>176</v>
      </c>
      <c r="C40" s="9" t="s">
        <v>177</v>
      </c>
      <c r="D40" s="9" t="s">
        <v>178</v>
      </c>
      <c r="E40" s="9" t="s">
        <v>179</v>
      </c>
      <c r="F40" s="11" t="s">
        <v>162</v>
      </c>
      <c r="G40" s="11" t="s">
        <v>20</v>
      </c>
      <c r="H40" s="9" t="s">
        <v>42</v>
      </c>
      <c r="I40" s="15">
        <v>1</v>
      </c>
      <c r="J40" s="17">
        <f>[1]Detail!M40+[1]Detail!N40</f>
        <v>484692</v>
      </c>
      <c r="K40" s="17">
        <f>J40*[1]Detail!I40</f>
        <v>484692</v>
      </c>
      <c r="L40" s="9"/>
    </row>
    <row r="41" ht="46" spans="1:12">
      <c r="A41" s="8" t="s">
        <v>180</v>
      </c>
      <c r="B41" s="9" t="s">
        <v>181</v>
      </c>
      <c r="C41" s="9" t="s">
        <v>182</v>
      </c>
      <c r="D41" s="9" t="s">
        <v>183</v>
      </c>
      <c r="E41" s="9" t="s">
        <v>184</v>
      </c>
      <c r="F41" s="11" t="s">
        <v>54</v>
      </c>
      <c r="G41" s="11" t="s">
        <v>20</v>
      </c>
      <c r="H41" s="9" t="s">
        <v>42</v>
      </c>
      <c r="I41" s="15">
        <v>1</v>
      </c>
      <c r="J41" s="17">
        <f>[1]Detail!M41+[1]Detail!N41</f>
        <v>127296</v>
      </c>
      <c r="K41" s="17">
        <f>J41*[1]Detail!I41</f>
        <v>127296</v>
      </c>
      <c r="L41" s="9"/>
    </row>
    <row r="42" ht="34.5" spans="1:12">
      <c r="A42" s="8" t="s">
        <v>185</v>
      </c>
      <c r="B42" s="9" t="s">
        <v>186</v>
      </c>
      <c r="C42" s="9" t="s">
        <v>187</v>
      </c>
      <c r="D42" s="9" t="s">
        <v>188</v>
      </c>
      <c r="E42" s="9" t="s">
        <v>189</v>
      </c>
      <c r="F42" s="11" t="s">
        <v>19</v>
      </c>
      <c r="G42" s="11" t="s">
        <v>20</v>
      </c>
      <c r="H42" s="9" t="s">
        <v>190</v>
      </c>
      <c r="I42" s="18">
        <v>1</v>
      </c>
      <c r="J42" s="17">
        <f>[1]Detail!M42+[1]Detail!N42</f>
        <v>528294</v>
      </c>
      <c r="K42" s="17">
        <f>J42*[1]Detail!I42</f>
        <v>528294</v>
      </c>
      <c r="L42" s="9"/>
    </row>
    <row r="43" ht="46" spans="1:12">
      <c r="A43" s="8" t="s">
        <v>191</v>
      </c>
      <c r="B43" s="9" t="s">
        <v>192</v>
      </c>
      <c r="C43" s="9" t="s">
        <v>193</v>
      </c>
      <c r="D43" s="9" t="s">
        <v>194</v>
      </c>
      <c r="E43" s="9" t="s">
        <v>195</v>
      </c>
      <c r="F43" s="11" t="s">
        <v>19</v>
      </c>
      <c r="G43" s="11" t="s">
        <v>36</v>
      </c>
      <c r="H43" s="9" t="s">
        <v>42</v>
      </c>
      <c r="I43" s="15">
        <v>1</v>
      </c>
      <c r="J43" s="17">
        <f>[1]Detail!M43+[1]Detail!N43</f>
        <v>169624</v>
      </c>
      <c r="K43" s="17">
        <f>J43*[1]Detail!I43</f>
        <v>169624</v>
      </c>
      <c r="L43" s="9"/>
    </row>
    <row r="44" ht="34.5" spans="1:12">
      <c r="A44" s="8" t="s">
        <v>196</v>
      </c>
      <c r="B44" s="9" t="s">
        <v>197</v>
      </c>
      <c r="C44" s="9" t="s">
        <v>198</v>
      </c>
      <c r="D44" s="9" t="s">
        <v>199</v>
      </c>
      <c r="E44" s="9" t="s">
        <v>124</v>
      </c>
      <c r="F44" s="11" t="s">
        <v>19</v>
      </c>
      <c r="G44" s="11" t="s">
        <v>36</v>
      </c>
      <c r="H44" s="9" t="s">
        <v>42</v>
      </c>
      <c r="I44" s="15">
        <v>1</v>
      </c>
      <c r="J44" s="17">
        <f>[1]Detail!M44+[1]Detail!N44</f>
        <v>124410</v>
      </c>
      <c r="K44" s="17">
        <f>J44*[1]Detail!I44</f>
        <v>124410</v>
      </c>
      <c r="L44" s="9"/>
    </row>
    <row r="45" ht="23" spans="1:12">
      <c r="A45" s="8" t="s">
        <v>200</v>
      </c>
      <c r="B45" s="9" t="s">
        <v>201</v>
      </c>
      <c r="C45" s="9" t="s">
        <v>202</v>
      </c>
      <c r="D45" s="9" t="s">
        <v>203</v>
      </c>
      <c r="E45" s="9" t="s">
        <v>204</v>
      </c>
      <c r="F45" s="11" t="s">
        <v>54</v>
      </c>
      <c r="G45" s="11" t="s">
        <v>20</v>
      </c>
      <c r="H45" s="9" t="s">
        <v>205</v>
      </c>
      <c r="I45" s="15">
        <v>1</v>
      </c>
      <c r="J45" s="17">
        <f>[1]Detail!M45+[1]Detail!N45</f>
        <v>67860</v>
      </c>
      <c r="K45" s="17">
        <f>J45*[1]Detail!I45</f>
        <v>67860</v>
      </c>
      <c r="L45" s="9"/>
    </row>
    <row r="46" ht="34.5" spans="1:12">
      <c r="A46" s="8" t="s">
        <v>206</v>
      </c>
      <c r="B46" s="9" t="s">
        <v>207</v>
      </c>
      <c r="C46" s="9" t="s">
        <v>208</v>
      </c>
      <c r="D46" s="9" t="s">
        <v>209</v>
      </c>
      <c r="E46" s="9" t="s">
        <v>76</v>
      </c>
      <c r="F46" s="11" t="s">
        <v>54</v>
      </c>
      <c r="G46" s="11" t="s">
        <v>20</v>
      </c>
      <c r="H46" s="9" t="s">
        <v>42</v>
      </c>
      <c r="I46" s="15">
        <v>1</v>
      </c>
      <c r="J46" s="17">
        <f>[1]Detail!M46+[1]Detail!N46</f>
        <v>146874</v>
      </c>
      <c r="K46" s="17">
        <f>J46*[1]Detail!I46</f>
        <v>146874</v>
      </c>
      <c r="L46" s="9"/>
    </row>
    <row r="47" ht="34.5" spans="1:12">
      <c r="A47" s="8" t="s">
        <v>210</v>
      </c>
      <c r="B47" s="9" t="s">
        <v>211</v>
      </c>
      <c r="C47" s="9" t="s">
        <v>212</v>
      </c>
      <c r="D47" s="9" t="s">
        <v>213</v>
      </c>
      <c r="E47" s="9" t="s">
        <v>18</v>
      </c>
      <c r="F47" s="11" t="s">
        <v>19</v>
      </c>
      <c r="G47" s="11" t="s">
        <v>41</v>
      </c>
      <c r="H47" s="9" t="s">
        <v>42</v>
      </c>
      <c r="I47" s="15">
        <v>1</v>
      </c>
      <c r="J47" s="17">
        <f>[1]Detail!M47+[1]Detail!N47</f>
        <v>142480</v>
      </c>
      <c r="K47" s="17">
        <f>J47*[1]Detail!I47</f>
        <v>142480</v>
      </c>
      <c r="L47" s="9"/>
    </row>
    <row r="48" ht="23" spans="1:12">
      <c r="A48" s="8" t="s">
        <v>214</v>
      </c>
      <c r="B48" s="9" t="s">
        <v>215</v>
      </c>
      <c r="C48" s="9" t="s">
        <v>216</v>
      </c>
      <c r="D48" s="9" t="s">
        <v>217</v>
      </c>
      <c r="E48" s="9" t="s">
        <v>53</v>
      </c>
      <c r="F48" s="11" t="s">
        <v>54</v>
      </c>
      <c r="G48" s="11" t="s">
        <v>36</v>
      </c>
      <c r="H48" s="9" t="s">
        <v>42</v>
      </c>
      <c r="I48" s="15">
        <v>1</v>
      </c>
      <c r="J48" s="17">
        <f>[1]Detail!M48+[1]Detail!N48</f>
        <v>188474</v>
      </c>
      <c r="K48" s="17">
        <f>J48*[1]Detail!I48</f>
        <v>188474</v>
      </c>
      <c r="L48" s="9"/>
    </row>
    <row r="49" spans="1:12">
      <c r="A49" s="8"/>
      <c r="B49" s="9"/>
      <c r="C49" s="9"/>
      <c r="D49" s="10" t="s">
        <v>218</v>
      </c>
      <c r="E49" s="9"/>
      <c r="F49" s="11"/>
      <c r="G49" s="11"/>
      <c r="H49" s="9"/>
      <c r="I49" s="15"/>
      <c r="J49" s="17"/>
      <c r="K49" s="17"/>
      <c r="L49" s="9"/>
    </row>
    <row r="50" ht="41.25" customHeight="1" spans="1:12">
      <c r="A50" s="8"/>
      <c r="B50" s="9"/>
      <c r="C50" s="9"/>
      <c r="D50" s="10" t="s">
        <v>219</v>
      </c>
      <c r="E50" s="9"/>
      <c r="F50" s="11"/>
      <c r="G50" s="11"/>
      <c r="H50" s="9"/>
      <c r="I50" s="15"/>
      <c r="J50" s="17"/>
      <c r="K50" s="17"/>
      <c r="L50" s="9"/>
    </row>
    <row r="51" ht="23" spans="1:12">
      <c r="A51" s="8" t="s">
        <v>220</v>
      </c>
      <c r="B51" s="9" t="s">
        <v>221</v>
      </c>
      <c r="C51" s="9" t="s">
        <v>222</v>
      </c>
      <c r="D51" s="9" t="s">
        <v>223</v>
      </c>
      <c r="E51" s="9" t="s">
        <v>224</v>
      </c>
      <c r="F51" s="11" t="s">
        <v>19</v>
      </c>
      <c r="G51" s="11" t="s">
        <v>36</v>
      </c>
      <c r="H51" s="9" t="s">
        <v>42</v>
      </c>
      <c r="I51" s="15">
        <v>1</v>
      </c>
      <c r="J51" s="17">
        <f>[1]Detail!M51+[1]Detail!N51</f>
        <v>323128</v>
      </c>
      <c r="K51" s="17">
        <f>J51*[1]Detail!I51</f>
        <v>323128</v>
      </c>
      <c r="L51" s="9"/>
    </row>
    <row r="52" ht="23" spans="1:12">
      <c r="A52" s="8" t="s">
        <v>225</v>
      </c>
      <c r="B52" s="9" t="s">
        <v>226</v>
      </c>
      <c r="C52" s="9" t="s">
        <v>227</v>
      </c>
      <c r="D52" s="9" t="s">
        <v>228</v>
      </c>
      <c r="E52" s="9" t="s">
        <v>85</v>
      </c>
      <c r="F52" s="11" t="s">
        <v>35</v>
      </c>
      <c r="G52" s="11" t="s">
        <v>36</v>
      </c>
      <c r="H52" s="9" t="s">
        <v>21</v>
      </c>
      <c r="I52" s="15">
        <v>1</v>
      </c>
      <c r="J52" s="17">
        <f>[1]Detail!M52+[1]Detail!N52</f>
        <v>461474</v>
      </c>
      <c r="K52" s="17">
        <f>J52*[1]Detail!I52</f>
        <v>461474</v>
      </c>
      <c r="L52" s="9"/>
    </row>
    <row r="53" ht="34.5" spans="1:12">
      <c r="A53" s="8" t="s">
        <v>229</v>
      </c>
      <c r="B53" s="9" t="s">
        <v>230</v>
      </c>
      <c r="C53" s="9" t="s">
        <v>231</v>
      </c>
      <c r="D53" s="9" t="s">
        <v>232</v>
      </c>
      <c r="E53" s="9" t="s">
        <v>179</v>
      </c>
      <c r="F53" s="11" t="s">
        <v>162</v>
      </c>
      <c r="G53" s="11" t="s">
        <v>20</v>
      </c>
      <c r="H53" s="9" t="s">
        <v>21</v>
      </c>
      <c r="I53" s="15">
        <v>1</v>
      </c>
      <c r="J53" s="17">
        <f>[1]Detail!M53+[1]Detail!N53</f>
        <v>175032</v>
      </c>
      <c r="K53" s="17">
        <f>J53*[1]Detail!I53</f>
        <v>175032</v>
      </c>
      <c r="L53" s="9"/>
    </row>
    <row r="54" ht="34.5" spans="1:12">
      <c r="A54" s="8" t="s">
        <v>233</v>
      </c>
      <c r="B54" s="9" t="s">
        <v>234</v>
      </c>
      <c r="C54" s="9" t="s">
        <v>231</v>
      </c>
      <c r="D54" s="9" t="s">
        <v>235</v>
      </c>
      <c r="E54" s="9" t="s">
        <v>179</v>
      </c>
      <c r="F54" s="11" t="s">
        <v>162</v>
      </c>
      <c r="G54" s="11" t="s">
        <v>20</v>
      </c>
      <c r="H54" s="9" t="s">
        <v>21</v>
      </c>
      <c r="I54" s="15">
        <v>1</v>
      </c>
      <c r="J54" s="17">
        <f>[1]Detail!M54+[1]Detail!N54</f>
        <v>175032</v>
      </c>
      <c r="K54" s="17">
        <f>J54*[1]Detail!I54</f>
        <v>175032</v>
      </c>
      <c r="L54" s="9"/>
    </row>
    <row r="55" ht="34.5" spans="1:12">
      <c r="A55" s="8" t="s">
        <v>236</v>
      </c>
      <c r="B55" s="9" t="s">
        <v>237</v>
      </c>
      <c r="C55" s="9" t="s">
        <v>238</v>
      </c>
      <c r="D55" s="9" t="s">
        <v>239</v>
      </c>
      <c r="E55" s="9" t="s">
        <v>76</v>
      </c>
      <c r="F55" s="11" t="s">
        <v>54</v>
      </c>
      <c r="G55" s="11" t="s">
        <v>36</v>
      </c>
      <c r="H55" s="9" t="s">
        <v>42</v>
      </c>
      <c r="I55" s="15">
        <v>1</v>
      </c>
      <c r="J55" s="17">
        <f>[1]Detail!M55+[1]Detail!N55</f>
        <v>146874</v>
      </c>
      <c r="K55" s="17">
        <f>J55*[1]Detail!I55</f>
        <v>146874</v>
      </c>
      <c r="L55" s="9"/>
    </row>
    <row r="56" ht="23" spans="1:12">
      <c r="A56" s="8" t="s">
        <v>240</v>
      </c>
      <c r="B56" s="9" t="s">
        <v>241</v>
      </c>
      <c r="C56" s="9" t="s">
        <v>242</v>
      </c>
      <c r="D56" s="9" t="s">
        <v>243</v>
      </c>
      <c r="E56" s="9" t="s">
        <v>244</v>
      </c>
      <c r="F56" s="11" t="s">
        <v>162</v>
      </c>
      <c r="G56" s="11" t="s">
        <v>41</v>
      </c>
      <c r="H56" s="9" t="s">
        <v>42</v>
      </c>
      <c r="I56" s="15">
        <v>1</v>
      </c>
      <c r="J56" s="17">
        <f>[1]Detail!M56+[1]Detail!N56</f>
        <v>161564</v>
      </c>
      <c r="K56" s="17">
        <f>J56*[1]Detail!I56</f>
        <v>161564</v>
      </c>
      <c r="L56" s="9"/>
    </row>
    <row r="57" ht="23" spans="1:12">
      <c r="A57" s="8" t="s">
        <v>245</v>
      </c>
      <c r="B57" s="9" t="s">
        <v>246</v>
      </c>
      <c r="C57" s="9" t="s">
        <v>247</v>
      </c>
      <c r="D57" s="9" t="s">
        <v>248</v>
      </c>
      <c r="E57" s="9" t="s">
        <v>249</v>
      </c>
      <c r="F57" s="11" t="s">
        <v>19</v>
      </c>
      <c r="G57" s="11" t="s">
        <v>36</v>
      </c>
      <c r="H57" s="9" t="s">
        <v>21</v>
      </c>
      <c r="I57" s="15">
        <v>1</v>
      </c>
      <c r="J57" s="17">
        <f>[1]Detail!M57+[1]Detail!N57</f>
        <v>197080</v>
      </c>
      <c r="K57" s="17">
        <f>J57*[1]Detail!I57</f>
        <v>197080</v>
      </c>
      <c r="L57" s="9"/>
    </row>
    <row r="58" ht="23" spans="1:12">
      <c r="A58" s="8" t="s">
        <v>250</v>
      </c>
      <c r="B58" s="9" t="s">
        <v>251</v>
      </c>
      <c r="C58" s="9" t="s">
        <v>252</v>
      </c>
      <c r="D58" s="9" t="s">
        <v>253</v>
      </c>
      <c r="E58" s="9" t="s">
        <v>244</v>
      </c>
      <c r="F58" s="11" t="s">
        <v>162</v>
      </c>
      <c r="G58" s="11" t="s">
        <v>20</v>
      </c>
      <c r="H58" s="9" t="s">
        <v>21</v>
      </c>
      <c r="I58" s="15">
        <v>1</v>
      </c>
      <c r="J58" s="17">
        <f>[1]Detail!M58+[1]Detail!N58</f>
        <v>376974</v>
      </c>
      <c r="K58" s="17">
        <f>J58*[1]Detail!I58</f>
        <v>376974</v>
      </c>
      <c r="L58" s="9"/>
    </row>
    <row r="59" spans="1:12">
      <c r="A59" s="8" t="s">
        <v>254</v>
      </c>
      <c r="B59" s="9" t="s">
        <v>255</v>
      </c>
      <c r="C59" s="9" t="s">
        <v>256</v>
      </c>
      <c r="D59" s="9" t="s">
        <v>257</v>
      </c>
      <c r="E59" s="9" t="s">
        <v>258</v>
      </c>
      <c r="F59" s="11" t="s">
        <v>19</v>
      </c>
      <c r="G59" s="11" t="s">
        <v>41</v>
      </c>
      <c r="H59" s="9" t="s">
        <v>21</v>
      </c>
      <c r="I59" s="15">
        <v>1</v>
      </c>
      <c r="J59" s="17">
        <f>[1]Detail!M59+[1]Detail!N59</f>
        <v>484718</v>
      </c>
      <c r="K59" s="17">
        <f>J59*[1]Detail!I59</f>
        <v>484718</v>
      </c>
      <c r="L59" s="9"/>
    </row>
    <row r="60" ht="23" spans="1:12">
      <c r="A60" s="8" t="s">
        <v>259</v>
      </c>
      <c r="B60" s="9" t="s">
        <v>260</v>
      </c>
      <c r="C60" s="9" t="s">
        <v>261</v>
      </c>
      <c r="D60" s="9" t="s">
        <v>262</v>
      </c>
      <c r="E60" s="9" t="s">
        <v>204</v>
      </c>
      <c r="F60" s="11" t="s">
        <v>54</v>
      </c>
      <c r="G60" s="11" t="s">
        <v>36</v>
      </c>
      <c r="H60" s="9" t="s">
        <v>42</v>
      </c>
      <c r="I60" s="15">
        <v>1</v>
      </c>
      <c r="J60" s="17">
        <f>[1]Detail!M60+[1]Detail!N60</f>
        <v>142714</v>
      </c>
      <c r="K60" s="17">
        <f>J60*[1]Detail!I60</f>
        <v>142714</v>
      </c>
      <c r="L60" s="9"/>
    </row>
    <row r="61" ht="34.5" spans="1:12">
      <c r="A61" s="8" t="s">
        <v>263</v>
      </c>
      <c r="B61" s="9" t="s">
        <v>264</v>
      </c>
      <c r="C61" s="9" t="s">
        <v>265</v>
      </c>
      <c r="D61" s="9" t="s">
        <v>266</v>
      </c>
      <c r="E61" s="9" t="s">
        <v>267</v>
      </c>
      <c r="F61" s="11" t="s">
        <v>19</v>
      </c>
      <c r="G61" s="11" t="s">
        <v>36</v>
      </c>
      <c r="H61" s="9" t="s">
        <v>42</v>
      </c>
      <c r="I61" s="15">
        <v>1</v>
      </c>
      <c r="J61" s="17">
        <f>[1]Detail!M61+[1]Detail!N61</f>
        <v>249574</v>
      </c>
      <c r="K61" s="17">
        <f>J61*[1]Detail!I61</f>
        <v>249574</v>
      </c>
      <c r="L61" s="9"/>
    </row>
    <row r="62" ht="23" spans="1:12">
      <c r="A62" s="8" t="s">
        <v>268</v>
      </c>
      <c r="B62" s="9" t="s">
        <v>269</v>
      </c>
      <c r="C62" s="9" t="s">
        <v>270</v>
      </c>
      <c r="D62" s="9" t="s">
        <v>271</v>
      </c>
      <c r="E62" s="9" t="s">
        <v>26</v>
      </c>
      <c r="F62" s="11" t="s">
        <v>19</v>
      </c>
      <c r="G62" s="11" t="s">
        <v>20</v>
      </c>
      <c r="H62" s="9" t="s">
        <v>42</v>
      </c>
      <c r="I62" s="15">
        <v>1</v>
      </c>
      <c r="J62" s="17">
        <f>[1]Detail!M62+[1]Detail!N62</f>
        <v>347620</v>
      </c>
      <c r="K62" s="17">
        <f>J62*[1]Detail!I62</f>
        <v>347620</v>
      </c>
      <c r="L62" s="9"/>
    </row>
    <row r="63" ht="34.5" spans="1:12">
      <c r="A63" s="8" t="s">
        <v>272</v>
      </c>
      <c r="B63" s="9" t="s">
        <v>273</v>
      </c>
      <c r="C63" s="9" t="s">
        <v>274</v>
      </c>
      <c r="D63" s="9" t="s">
        <v>275</v>
      </c>
      <c r="E63" s="9" t="s">
        <v>276</v>
      </c>
      <c r="F63" s="11" t="s">
        <v>19</v>
      </c>
      <c r="G63" s="11" t="s">
        <v>20</v>
      </c>
      <c r="H63" s="9" t="s">
        <v>21</v>
      </c>
      <c r="I63" s="15">
        <v>1</v>
      </c>
      <c r="J63" s="17">
        <f>[1]Detail!M63+[1]Detail!N63</f>
        <v>61932</v>
      </c>
      <c r="K63" s="17">
        <f>J63*[1]Detail!I63</f>
        <v>61932</v>
      </c>
      <c r="L63" s="9"/>
    </row>
    <row r="64" ht="34.5" spans="1:12">
      <c r="A64" s="8" t="s">
        <v>277</v>
      </c>
      <c r="B64" s="9" t="s">
        <v>278</v>
      </c>
      <c r="C64" s="9" t="s">
        <v>279</v>
      </c>
      <c r="D64" s="9" t="s">
        <v>280</v>
      </c>
      <c r="E64" s="9" t="s">
        <v>124</v>
      </c>
      <c r="F64" s="11" t="s">
        <v>19</v>
      </c>
      <c r="G64" s="11" t="s">
        <v>20</v>
      </c>
      <c r="H64" s="9" t="s">
        <v>42</v>
      </c>
      <c r="I64" s="15">
        <v>1</v>
      </c>
      <c r="J64" s="17">
        <f>[1]Detail!M64+[1]Detail!N64</f>
        <v>141830</v>
      </c>
      <c r="K64" s="17">
        <f>J64*[1]Detail!I64</f>
        <v>141830</v>
      </c>
      <c r="L64" s="9"/>
    </row>
    <row r="65" ht="46" spans="1:12">
      <c r="A65" s="8" t="s">
        <v>281</v>
      </c>
      <c r="B65" s="9" t="s">
        <v>282</v>
      </c>
      <c r="C65" s="9" t="s">
        <v>283</v>
      </c>
      <c r="D65" s="9" t="s">
        <v>280</v>
      </c>
      <c r="E65" s="9" t="s">
        <v>124</v>
      </c>
      <c r="F65" s="11" t="s">
        <v>19</v>
      </c>
      <c r="G65" s="11" t="s">
        <v>20</v>
      </c>
      <c r="H65" s="9" t="s">
        <v>42</v>
      </c>
      <c r="I65" s="15">
        <v>1</v>
      </c>
      <c r="J65" s="17">
        <f>[1]Detail!M65+[1]Detail!N65</f>
        <v>141830</v>
      </c>
      <c r="K65" s="17">
        <f>J65*[1]Detail!I65</f>
        <v>141830</v>
      </c>
      <c r="L65" s="9"/>
    </row>
    <row r="66" ht="23" spans="1:12">
      <c r="A66" s="8" t="s">
        <v>284</v>
      </c>
      <c r="B66" s="9" t="s">
        <v>285</v>
      </c>
      <c r="C66" s="9" t="s">
        <v>286</v>
      </c>
      <c r="D66" s="9" t="s">
        <v>287</v>
      </c>
      <c r="E66" s="9" t="s">
        <v>124</v>
      </c>
      <c r="F66" s="11" t="s">
        <v>19</v>
      </c>
      <c r="G66" s="11" t="s">
        <v>36</v>
      </c>
      <c r="H66" s="9" t="s">
        <v>42</v>
      </c>
      <c r="I66" s="15">
        <v>1</v>
      </c>
      <c r="J66" s="17">
        <f>[1]Detail!M66+[1]Detail!N66</f>
        <v>124410</v>
      </c>
      <c r="K66" s="17">
        <f>J66*[1]Detail!I66</f>
        <v>124410</v>
      </c>
      <c r="L66" s="9"/>
    </row>
    <row r="67" ht="46" spans="1:12">
      <c r="A67" s="8" t="s">
        <v>288</v>
      </c>
      <c r="B67" s="9" t="s">
        <v>289</v>
      </c>
      <c r="C67" s="9" t="s">
        <v>290</v>
      </c>
      <c r="D67" s="9" t="s">
        <v>291</v>
      </c>
      <c r="E67" s="9" t="s">
        <v>258</v>
      </c>
      <c r="F67" s="11" t="s">
        <v>19</v>
      </c>
      <c r="G67" s="11" t="s">
        <v>41</v>
      </c>
      <c r="H67" s="9" t="s">
        <v>21</v>
      </c>
      <c r="I67" s="15">
        <v>1</v>
      </c>
      <c r="J67" s="17">
        <f>[1]Detail!M67+[1]Detail!N67</f>
        <v>690352</v>
      </c>
      <c r="K67" s="17">
        <f>J67*[1]Detail!I67</f>
        <v>690352</v>
      </c>
      <c r="L67" s="9"/>
    </row>
    <row r="68" ht="23" spans="1:12">
      <c r="A68" s="8" t="s">
        <v>292</v>
      </c>
      <c r="B68" s="9" t="s">
        <v>293</v>
      </c>
      <c r="C68" s="9" t="s">
        <v>286</v>
      </c>
      <c r="D68" s="9" t="s">
        <v>294</v>
      </c>
      <c r="E68" s="9" t="s">
        <v>124</v>
      </c>
      <c r="F68" s="11" t="s">
        <v>19</v>
      </c>
      <c r="G68" s="11" t="s">
        <v>20</v>
      </c>
      <c r="H68" s="9" t="s">
        <v>42</v>
      </c>
      <c r="I68" s="15">
        <v>1</v>
      </c>
      <c r="J68" s="17">
        <f>[1]Detail!M68+[1]Detail!N68</f>
        <v>141830</v>
      </c>
      <c r="K68" s="17">
        <f>J68*[1]Detail!I68</f>
        <v>141830</v>
      </c>
      <c r="L68" s="9"/>
    </row>
    <row r="69" spans="1:12">
      <c r="A69" s="8" t="s">
        <v>295</v>
      </c>
      <c r="B69" s="9" t="s">
        <v>296</v>
      </c>
      <c r="C69" s="9" t="s">
        <v>297</v>
      </c>
      <c r="D69" s="9" t="s">
        <v>298</v>
      </c>
      <c r="E69" s="9" t="s">
        <v>76</v>
      </c>
      <c r="F69" s="11" t="s">
        <v>54</v>
      </c>
      <c r="G69" s="11" t="s">
        <v>36</v>
      </c>
      <c r="H69" s="9" t="s">
        <v>42</v>
      </c>
      <c r="I69" s="15">
        <v>1</v>
      </c>
      <c r="J69" s="17">
        <f>[1]Detail!M69+[1]Detail!N69</f>
        <v>196794</v>
      </c>
      <c r="K69" s="17">
        <f>J69*[1]Detail!I69</f>
        <v>196794</v>
      </c>
      <c r="L69" s="9"/>
    </row>
    <row r="70" ht="34.5" spans="1:12">
      <c r="A70" s="8" t="s">
        <v>299</v>
      </c>
      <c r="B70" s="9" t="s">
        <v>300</v>
      </c>
      <c r="C70" s="9" t="s">
        <v>301</v>
      </c>
      <c r="D70" s="9" t="s">
        <v>302</v>
      </c>
      <c r="E70" s="9" t="s">
        <v>184</v>
      </c>
      <c r="F70" s="11" t="s">
        <v>54</v>
      </c>
      <c r="G70" s="11" t="s">
        <v>20</v>
      </c>
      <c r="H70" s="9" t="s">
        <v>42</v>
      </c>
      <c r="I70" s="15">
        <v>1</v>
      </c>
      <c r="J70" s="17">
        <f>[1]Detail!M70+[1]Detail!N70</f>
        <v>133172</v>
      </c>
      <c r="K70" s="17">
        <f>J70*[1]Detail!I70</f>
        <v>133172</v>
      </c>
      <c r="L70" s="9"/>
    </row>
    <row r="71" ht="23" spans="1:12">
      <c r="A71" s="8" t="s">
        <v>303</v>
      </c>
      <c r="B71" s="9" t="s">
        <v>304</v>
      </c>
      <c r="C71" s="9" t="s">
        <v>305</v>
      </c>
      <c r="D71" s="9" t="s">
        <v>306</v>
      </c>
      <c r="E71" s="9" t="s">
        <v>307</v>
      </c>
      <c r="F71" s="11" t="s">
        <v>35</v>
      </c>
      <c r="G71" s="11" t="s">
        <v>36</v>
      </c>
      <c r="H71" s="9" t="s">
        <v>42</v>
      </c>
      <c r="I71" s="15">
        <v>1</v>
      </c>
      <c r="J71" s="17">
        <f>[1]Detail!M71+[1]Detail!N71</f>
        <v>267332</v>
      </c>
      <c r="K71" s="17">
        <f>J71*[1]Detail!I71</f>
        <v>267332</v>
      </c>
      <c r="L71" s="9"/>
    </row>
    <row r="72" ht="34.5" spans="1:12">
      <c r="A72" s="8" t="s">
        <v>308</v>
      </c>
      <c r="B72" s="9" t="s">
        <v>309</v>
      </c>
      <c r="C72" s="9" t="s">
        <v>310</v>
      </c>
      <c r="D72" s="9" t="s">
        <v>311</v>
      </c>
      <c r="E72" s="9" t="s">
        <v>179</v>
      </c>
      <c r="F72" s="11" t="s">
        <v>162</v>
      </c>
      <c r="G72" s="11" t="s">
        <v>36</v>
      </c>
      <c r="H72" s="9" t="s">
        <v>42</v>
      </c>
      <c r="I72" s="15">
        <v>1</v>
      </c>
      <c r="J72" s="17">
        <f>[1]Detail!M72+[1]Detail!N72</f>
        <v>323128</v>
      </c>
      <c r="K72" s="17">
        <f>J72*[1]Detail!I72</f>
        <v>323128</v>
      </c>
      <c r="L72" s="9"/>
    </row>
    <row r="73" ht="34.5" spans="1:12">
      <c r="A73" s="8" t="s">
        <v>312</v>
      </c>
      <c r="B73" s="9" t="s">
        <v>313</v>
      </c>
      <c r="C73" s="9" t="s">
        <v>314</v>
      </c>
      <c r="D73" s="9" t="s">
        <v>315</v>
      </c>
      <c r="E73" s="9" t="s">
        <v>34</v>
      </c>
      <c r="F73" s="11" t="s">
        <v>35</v>
      </c>
      <c r="G73" s="11" t="s">
        <v>36</v>
      </c>
      <c r="H73" s="9" t="s">
        <v>21</v>
      </c>
      <c r="I73" s="15">
        <v>1</v>
      </c>
      <c r="J73" s="17">
        <f>[1]Detail!M73+[1]Detail!N73</f>
        <v>566982</v>
      </c>
      <c r="K73" s="17">
        <f>J73*[1]Detail!I73</f>
        <v>566982</v>
      </c>
      <c r="L73" s="9"/>
    </row>
    <row r="74" ht="34.5" spans="1:12">
      <c r="A74" s="8" t="s">
        <v>316</v>
      </c>
      <c r="B74" s="9" t="s">
        <v>317</v>
      </c>
      <c r="C74" s="9" t="s">
        <v>318</v>
      </c>
      <c r="D74" s="9" t="s">
        <v>319</v>
      </c>
      <c r="E74" s="9" t="s">
        <v>179</v>
      </c>
      <c r="F74" s="11" t="s">
        <v>162</v>
      </c>
      <c r="G74" s="11" t="s">
        <v>20</v>
      </c>
      <c r="H74" s="9" t="s">
        <v>21</v>
      </c>
      <c r="I74" s="15">
        <v>1</v>
      </c>
      <c r="J74" s="17">
        <f>[1]Detail!M74+[1]Detail!N74</f>
        <v>201942</v>
      </c>
      <c r="K74" s="17">
        <f>J74*[1]Detail!I74</f>
        <v>201942</v>
      </c>
      <c r="L74" s="9"/>
    </row>
    <row r="75" ht="34.5" spans="1:12">
      <c r="A75" s="8" t="s">
        <v>320</v>
      </c>
      <c r="B75" s="9" t="s">
        <v>321</v>
      </c>
      <c r="C75" s="9" t="s">
        <v>322</v>
      </c>
      <c r="D75" s="9" t="s">
        <v>323</v>
      </c>
      <c r="E75" s="9" t="s">
        <v>179</v>
      </c>
      <c r="F75" s="11" t="s">
        <v>162</v>
      </c>
      <c r="G75" s="11" t="s">
        <v>20</v>
      </c>
      <c r="H75" s="9" t="s">
        <v>42</v>
      </c>
      <c r="I75" s="15">
        <v>1</v>
      </c>
      <c r="J75" s="17">
        <f>[1]Detail!M75+[1]Detail!N75</f>
        <v>94224</v>
      </c>
      <c r="K75" s="17">
        <f>J75*[1]Detail!I75</f>
        <v>94224</v>
      </c>
      <c r="L75" s="9"/>
    </row>
    <row r="76" ht="34.5" spans="1:12">
      <c r="A76" s="8" t="s">
        <v>324</v>
      </c>
      <c r="B76" s="9" t="s">
        <v>325</v>
      </c>
      <c r="C76" s="9" t="s">
        <v>326</v>
      </c>
      <c r="D76" s="9" t="s">
        <v>327</v>
      </c>
      <c r="E76" s="9" t="s">
        <v>179</v>
      </c>
      <c r="F76" s="11" t="s">
        <v>162</v>
      </c>
      <c r="G76" s="11" t="s">
        <v>41</v>
      </c>
      <c r="H76" s="9" t="s">
        <v>42</v>
      </c>
      <c r="I76" s="15">
        <v>1</v>
      </c>
      <c r="J76" s="17">
        <f>[1]Detail!M76+[1]Detail!N76</f>
        <v>88842</v>
      </c>
      <c r="K76" s="17">
        <f>J76*[1]Detail!I76</f>
        <v>88842</v>
      </c>
      <c r="L76" s="9"/>
    </row>
    <row r="77" ht="34.5" spans="1:12">
      <c r="A77" s="8" t="s">
        <v>328</v>
      </c>
      <c r="B77" s="9" t="s">
        <v>329</v>
      </c>
      <c r="C77" s="9" t="s">
        <v>330</v>
      </c>
      <c r="D77" s="9" t="s">
        <v>331</v>
      </c>
      <c r="E77" s="9" t="s">
        <v>76</v>
      </c>
      <c r="F77" s="11" t="s">
        <v>54</v>
      </c>
      <c r="G77" s="11" t="s">
        <v>41</v>
      </c>
      <c r="H77" s="9" t="s">
        <v>21</v>
      </c>
      <c r="I77" s="15">
        <v>1</v>
      </c>
      <c r="J77" s="17">
        <f>[1]Detail!M77+[1]Detail!N77</f>
        <v>308464</v>
      </c>
      <c r="K77" s="17">
        <f>J77*[1]Detail!I77</f>
        <v>308464</v>
      </c>
      <c r="L77" s="9"/>
    </row>
    <row r="78" ht="23" spans="1:12">
      <c r="A78" s="8" t="s">
        <v>332</v>
      </c>
      <c r="B78" s="9" t="s">
        <v>333</v>
      </c>
      <c r="C78" s="9" t="s">
        <v>334</v>
      </c>
      <c r="D78" s="9" t="s">
        <v>335</v>
      </c>
      <c r="E78" s="9" t="s">
        <v>85</v>
      </c>
      <c r="F78" s="11" t="s">
        <v>35</v>
      </c>
      <c r="G78" s="11" t="s">
        <v>41</v>
      </c>
      <c r="H78" s="9" t="s">
        <v>42</v>
      </c>
      <c r="I78" s="15">
        <v>1</v>
      </c>
      <c r="J78" s="17">
        <f>[1]Detail!M78+[1]Detail!N78</f>
        <v>293774</v>
      </c>
      <c r="K78" s="17">
        <f>J78*[1]Detail!I78</f>
        <v>293774</v>
      </c>
      <c r="L78" s="9"/>
    </row>
    <row r="79" ht="69" spans="1:12">
      <c r="A79" s="8" t="s">
        <v>336</v>
      </c>
      <c r="B79" s="9" t="s">
        <v>337</v>
      </c>
      <c r="C79" s="9" t="s">
        <v>338</v>
      </c>
      <c r="D79" s="9" t="s">
        <v>339</v>
      </c>
      <c r="E79" s="9" t="s">
        <v>76</v>
      </c>
      <c r="F79" s="11" t="s">
        <v>54</v>
      </c>
      <c r="G79" s="11" t="s">
        <v>41</v>
      </c>
      <c r="H79" s="9" t="s">
        <v>42</v>
      </c>
      <c r="I79" s="15">
        <v>1</v>
      </c>
      <c r="J79" s="17">
        <f>[1]Detail!M79+[1]Detail!N79</f>
        <v>185068</v>
      </c>
      <c r="K79" s="17">
        <f>J79*[1]Detail!I79</f>
        <v>185068</v>
      </c>
      <c r="L79" s="9"/>
    </row>
    <row r="80" ht="23" spans="1:12">
      <c r="A80" s="8" t="s">
        <v>340</v>
      </c>
      <c r="B80" s="9" t="s">
        <v>341</v>
      </c>
      <c r="C80" s="9" t="s">
        <v>342</v>
      </c>
      <c r="D80" s="9" t="s">
        <v>343</v>
      </c>
      <c r="E80" s="9" t="s">
        <v>267</v>
      </c>
      <c r="F80" s="11" t="s">
        <v>19</v>
      </c>
      <c r="G80" s="11" t="s">
        <v>36</v>
      </c>
      <c r="H80" s="9" t="s">
        <v>42</v>
      </c>
      <c r="I80" s="15">
        <v>1</v>
      </c>
      <c r="J80" s="17">
        <f>[1]Detail!M80+[1]Detail!N80</f>
        <v>293644</v>
      </c>
      <c r="K80" s="17">
        <f>J80*[1]Detail!I80</f>
        <v>293644</v>
      </c>
      <c r="L80" s="9"/>
    </row>
    <row r="81" ht="34.5" spans="1:12">
      <c r="A81" s="8" t="s">
        <v>344</v>
      </c>
      <c r="B81" s="9" t="s">
        <v>345</v>
      </c>
      <c r="C81" s="9" t="s">
        <v>346</v>
      </c>
      <c r="D81" s="9" t="s">
        <v>347</v>
      </c>
      <c r="E81" s="9" t="s">
        <v>179</v>
      </c>
      <c r="F81" s="11" t="s">
        <v>162</v>
      </c>
      <c r="G81" s="11" t="s">
        <v>36</v>
      </c>
      <c r="H81" s="9" t="s">
        <v>42</v>
      </c>
      <c r="I81" s="15">
        <v>1</v>
      </c>
      <c r="J81" s="17">
        <f>[1]Detail!M81+[1]Detail!N81</f>
        <v>484692</v>
      </c>
      <c r="K81" s="17">
        <f>J81*[1]Detail!I81</f>
        <v>484692</v>
      </c>
      <c r="L81" s="9"/>
    </row>
    <row r="82" ht="23" spans="1:12">
      <c r="A82" s="8" t="s">
        <v>348</v>
      </c>
      <c r="B82" s="9" t="s">
        <v>349</v>
      </c>
      <c r="C82" s="9" t="s">
        <v>350</v>
      </c>
      <c r="D82" s="9" t="s">
        <v>351</v>
      </c>
      <c r="E82" s="9" t="s">
        <v>204</v>
      </c>
      <c r="F82" s="11" t="s">
        <v>54</v>
      </c>
      <c r="G82" s="11" t="s">
        <v>36</v>
      </c>
      <c r="H82" s="9" t="s">
        <v>21</v>
      </c>
      <c r="I82" s="15">
        <v>1</v>
      </c>
      <c r="J82" s="17">
        <f>[1]Detail!M82+[1]Detail!N82</f>
        <v>212758</v>
      </c>
      <c r="K82" s="17">
        <f>J82*[1]Detail!I82</f>
        <v>212758</v>
      </c>
      <c r="L82" s="9"/>
    </row>
    <row r="83" ht="23" spans="1:12">
      <c r="A83" s="8" t="s">
        <v>352</v>
      </c>
      <c r="B83" s="9" t="s">
        <v>353</v>
      </c>
      <c r="C83" s="9" t="s">
        <v>354</v>
      </c>
      <c r="D83" s="9" t="s">
        <v>355</v>
      </c>
      <c r="E83" s="9" t="s">
        <v>356</v>
      </c>
      <c r="F83" s="11" t="s">
        <v>357</v>
      </c>
      <c r="G83" s="11" t="s">
        <v>20</v>
      </c>
      <c r="H83" s="9" t="s">
        <v>42</v>
      </c>
      <c r="I83" s="15">
        <v>1</v>
      </c>
      <c r="J83" s="17">
        <f>[1]Detail!M83+[1]Detail!N83</f>
        <v>376974</v>
      </c>
      <c r="K83" s="17">
        <f>J83*[1]Detail!I83</f>
        <v>376974</v>
      </c>
      <c r="L83" s="9"/>
    </row>
    <row r="84" ht="23" spans="1:12">
      <c r="A84" s="8" t="s">
        <v>358</v>
      </c>
      <c r="B84" s="9" t="s">
        <v>359</v>
      </c>
      <c r="C84" s="9" t="s">
        <v>360</v>
      </c>
      <c r="D84" s="9" t="s">
        <v>361</v>
      </c>
      <c r="E84" s="9" t="s">
        <v>362</v>
      </c>
      <c r="F84" s="11" t="s">
        <v>54</v>
      </c>
      <c r="G84" s="11" t="s">
        <v>20</v>
      </c>
      <c r="H84" s="9" t="s">
        <v>42</v>
      </c>
      <c r="I84" s="15">
        <v>1</v>
      </c>
      <c r="J84" s="17">
        <f>[1]Detail!M84+[1]Detail!N84</f>
        <v>220298</v>
      </c>
      <c r="K84" s="17">
        <f>J84*[1]Detail!I84</f>
        <v>220298</v>
      </c>
      <c r="L84" s="9"/>
    </row>
    <row r="85" spans="1:12">
      <c r="A85" s="8" t="s">
        <v>363</v>
      </c>
      <c r="B85" s="9" t="s">
        <v>364</v>
      </c>
      <c r="C85" s="9" t="s">
        <v>365</v>
      </c>
      <c r="D85" s="9" t="s">
        <v>366</v>
      </c>
      <c r="E85" s="9" t="s">
        <v>76</v>
      </c>
      <c r="F85" s="11" t="s">
        <v>54</v>
      </c>
      <c r="G85" s="11" t="s">
        <v>20</v>
      </c>
      <c r="H85" s="9" t="s">
        <v>21</v>
      </c>
      <c r="I85" s="15">
        <v>1</v>
      </c>
      <c r="J85" s="17">
        <f>[1]Detail!M85+[1]Detail!N85</f>
        <v>196794</v>
      </c>
      <c r="K85" s="17">
        <f>J85*[1]Detail!I85</f>
        <v>196794</v>
      </c>
      <c r="L85" s="9"/>
    </row>
    <row r="86" ht="69" spans="1:12">
      <c r="A86" s="8" t="s">
        <v>367</v>
      </c>
      <c r="B86" s="9" t="s">
        <v>368</v>
      </c>
      <c r="C86" s="9" t="s">
        <v>369</v>
      </c>
      <c r="D86" s="9" t="s">
        <v>370</v>
      </c>
      <c r="E86" s="9" t="s">
        <v>179</v>
      </c>
      <c r="F86" s="11" t="s">
        <v>162</v>
      </c>
      <c r="G86" s="11" t="s">
        <v>36</v>
      </c>
      <c r="H86" s="9" t="s">
        <v>42</v>
      </c>
      <c r="I86" s="15">
        <v>1</v>
      </c>
      <c r="J86" s="17">
        <f>[1]Detail!M86+[1]Detail!N86</f>
        <v>269282</v>
      </c>
      <c r="K86" s="17">
        <f>J86*[1]Detail!I86</f>
        <v>269282</v>
      </c>
      <c r="L86" s="9"/>
    </row>
    <row r="87" ht="34.5" spans="1:12">
      <c r="A87" s="8" t="s">
        <v>371</v>
      </c>
      <c r="B87" s="9" t="s">
        <v>372</v>
      </c>
      <c r="C87" s="9" t="s">
        <v>373</v>
      </c>
      <c r="D87" s="9" t="s">
        <v>374</v>
      </c>
      <c r="E87" s="9" t="s">
        <v>76</v>
      </c>
      <c r="F87" s="11" t="s">
        <v>54</v>
      </c>
      <c r="G87" s="11" t="s">
        <v>41</v>
      </c>
      <c r="H87" s="9" t="s">
        <v>42</v>
      </c>
      <c r="I87" s="15">
        <v>1</v>
      </c>
      <c r="J87" s="17">
        <f>[1]Detail!M87+[1]Detail!N87</f>
        <v>155688</v>
      </c>
      <c r="K87" s="17">
        <f>J87*[1]Detail!I87</f>
        <v>155688</v>
      </c>
      <c r="L87" s="9"/>
    </row>
    <row r="88" ht="34.5" spans="1:12">
      <c r="A88" s="8" t="s">
        <v>375</v>
      </c>
      <c r="B88" s="9" t="s">
        <v>376</v>
      </c>
      <c r="C88" s="9" t="s">
        <v>377</v>
      </c>
      <c r="D88" s="9" t="s">
        <v>378</v>
      </c>
      <c r="E88" s="9" t="s">
        <v>179</v>
      </c>
      <c r="F88" s="11" t="s">
        <v>162</v>
      </c>
      <c r="G88" s="11" t="s">
        <v>20</v>
      </c>
      <c r="H88" s="9" t="s">
        <v>21</v>
      </c>
      <c r="I88" s="15">
        <v>1</v>
      </c>
      <c r="J88" s="17">
        <f>[1]Detail!M88+[1]Detail!N88</f>
        <v>242346</v>
      </c>
      <c r="K88" s="17">
        <f>J88*[1]Detail!I88</f>
        <v>242346</v>
      </c>
      <c r="L88" s="9"/>
    </row>
    <row r="89" ht="23" spans="1:12">
      <c r="A89" s="8" t="s">
        <v>379</v>
      </c>
      <c r="B89" s="9" t="s">
        <v>380</v>
      </c>
      <c r="C89" s="9" t="s">
        <v>381</v>
      </c>
      <c r="D89" s="9" t="s">
        <v>382</v>
      </c>
      <c r="E89" s="9" t="s">
        <v>76</v>
      </c>
      <c r="F89" s="11" t="s">
        <v>54</v>
      </c>
      <c r="G89" s="11" t="s">
        <v>20</v>
      </c>
      <c r="H89" s="9" t="s">
        <v>21</v>
      </c>
      <c r="I89" s="15">
        <v>1</v>
      </c>
      <c r="J89" s="17">
        <f>[1]Detail!M89+[1]Detail!N89</f>
        <v>284934</v>
      </c>
      <c r="K89" s="17">
        <f>J89*[1]Detail!I89</f>
        <v>284934</v>
      </c>
      <c r="L89" s="9"/>
    </row>
    <row r="90" ht="57.5" spans="1:12">
      <c r="A90" s="8" t="s">
        <v>383</v>
      </c>
      <c r="B90" s="9" t="s">
        <v>384</v>
      </c>
      <c r="C90" s="9" t="s">
        <v>385</v>
      </c>
      <c r="D90" s="9" t="s">
        <v>386</v>
      </c>
      <c r="E90" s="9" t="s">
        <v>356</v>
      </c>
      <c r="F90" s="11" t="s">
        <v>357</v>
      </c>
      <c r="G90" s="11" t="s">
        <v>36</v>
      </c>
      <c r="H90" s="9" t="s">
        <v>21</v>
      </c>
      <c r="I90" s="15">
        <v>1</v>
      </c>
      <c r="J90" s="17">
        <f>[1]Detail!M90+[1]Detail!N90</f>
        <v>296192</v>
      </c>
      <c r="K90" s="17">
        <f>J90*[1]Detail!I90</f>
        <v>296192</v>
      </c>
      <c r="L90" s="9"/>
    </row>
    <row r="91" ht="23" spans="1:12">
      <c r="A91" s="8" t="s">
        <v>387</v>
      </c>
      <c r="B91" s="9" t="s">
        <v>388</v>
      </c>
      <c r="C91" s="9" t="s">
        <v>389</v>
      </c>
      <c r="D91" s="9" t="s">
        <v>390</v>
      </c>
      <c r="E91" s="9" t="s">
        <v>26</v>
      </c>
      <c r="F91" s="11" t="s">
        <v>19</v>
      </c>
      <c r="G91" s="11" t="s">
        <v>20</v>
      </c>
      <c r="H91" s="9" t="s">
        <v>42</v>
      </c>
      <c r="I91" s="15">
        <v>1</v>
      </c>
      <c r="J91" s="17">
        <f>[1]Detail!M91+[1]Detail!N91</f>
        <v>347646</v>
      </c>
      <c r="K91" s="17">
        <f>J91*[1]Detail!I91</f>
        <v>347646</v>
      </c>
      <c r="L91" s="9"/>
    </row>
    <row r="92" ht="34.5" spans="1:12">
      <c r="A92" s="8" t="s">
        <v>391</v>
      </c>
      <c r="B92" s="9" t="s">
        <v>392</v>
      </c>
      <c r="C92" s="9" t="s">
        <v>393</v>
      </c>
      <c r="D92" s="9" t="s">
        <v>394</v>
      </c>
      <c r="E92" s="9" t="s">
        <v>179</v>
      </c>
      <c r="F92" s="11" t="s">
        <v>162</v>
      </c>
      <c r="G92" s="11" t="s">
        <v>36</v>
      </c>
      <c r="H92" s="9" t="s">
        <v>42</v>
      </c>
      <c r="I92" s="15">
        <v>1</v>
      </c>
      <c r="J92" s="17">
        <f>[1]Detail!M92+[1]Detail!N92</f>
        <v>201942</v>
      </c>
      <c r="K92" s="17">
        <f>J92*[1]Detail!I92</f>
        <v>201942</v>
      </c>
      <c r="L92" s="9"/>
    </row>
    <row r="93" ht="23" spans="1:12">
      <c r="A93" s="8" t="s">
        <v>395</v>
      </c>
      <c r="B93" s="9" t="s">
        <v>396</v>
      </c>
      <c r="C93" s="9" t="s">
        <v>397</v>
      </c>
      <c r="D93" s="9" t="s">
        <v>398</v>
      </c>
      <c r="E93" s="9" t="s">
        <v>85</v>
      </c>
      <c r="F93" s="11" t="s">
        <v>35</v>
      </c>
      <c r="G93" s="11" t="s">
        <v>36</v>
      </c>
      <c r="H93" s="9" t="s">
        <v>21</v>
      </c>
      <c r="I93" s="15">
        <v>1</v>
      </c>
      <c r="J93" s="17">
        <f>[1]Detail!M93+[1]Detail!N93</f>
        <v>425984</v>
      </c>
      <c r="K93" s="17">
        <f>J93*[1]Detail!I93</f>
        <v>425984</v>
      </c>
      <c r="L93" s="9"/>
    </row>
    <row r="94" ht="34.5" spans="1:12">
      <c r="A94" s="8" t="s">
        <v>399</v>
      </c>
      <c r="B94" s="9" t="s">
        <v>400</v>
      </c>
      <c r="C94" s="9" t="s">
        <v>401</v>
      </c>
      <c r="D94" s="9" t="s">
        <v>402</v>
      </c>
      <c r="E94" s="9" t="s">
        <v>179</v>
      </c>
      <c r="F94" s="11" t="s">
        <v>162</v>
      </c>
      <c r="G94" s="11" t="s">
        <v>20</v>
      </c>
      <c r="H94" s="9" t="s">
        <v>42</v>
      </c>
      <c r="I94" s="15">
        <v>1</v>
      </c>
      <c r="J94" s="17">
        <f>[1]Detail!M94+[1]Detail!N94</f>
        <v>673192</v>
      </c>
      <c r="K94" s="17">
        <f>J94*[1]Detail!I94</f>
        <v>673192</v>
      </c>
      <c r="L94" s="9"/>
    </row>
    <row r="95" ht="34.5" spans="1:12">
      <c r="A95" s="8" t="s">
        <v>403</v>
      </c>
      <c r="B95" s="9" t="s">
        <v>404</v>
      </c>
      <c r="C95" s="9" t="s">
        <v>401</v>
      </c>
      <c r="D95" s="9" t="s">
        <v>405</v>
      </c>
      <c r="E95" s="9" t="s">
        <v>179</v>
      </c>
      <c r="F95" s="11" t="s">
        <v>162</v>
      </c>
      <c r="G95" s="11" t="s">
        <v>36</v>
      </c>
      <c r="H95" s="9" t="s">
        <v>42</v>
      </c>
      <c r="I95" s="15">
        <v>1</v>
      </c>
      <c r="J95" s="17">
        <f>[1]Detail!M95+[1]Detail!N95</f>
        <v>592410</v>
      </c>
      <c r="K95" s="17">
        <f>J95*[1]Detail!I95</f>
        <v>592410</v>
      </c>
      <c r="L95" s="9"/>
    </row>
    <row r="96" ht="23" spans="1:12">
      <c r="A96" s="8" t="s">
        <v>406</v>
      </c>
      <c r="B96" s="9" t="s">
        <v>407</v>
      </c>
      <c r="C96" s="9" t="s">
        <v>401</v>
      </c>
      <c r="D96" s="9" t="s">
        <v>408</v>
      </c>
      <c r="E96" s="9" t="s">
        <v>244</v>
      </c>
      <c r="F96" s="11" t="s">
        <v>162</v>
      </c>
      <c r="G96" s="11" t="s">
        <v>20</v>
      </c>
      <c r="H96" s="9" t="s">
        <v>21</v>
      </c>
      <c r="I96" s="15">
        <v>1</v>
      </c>
      <c r="J96" s="17">
        <f>[1]Detail!M96+[1]Detail!N96</f>
        <v>673192</v>
      </c>
      <c r="K96" s="17">
        <f>J96*[1]Detail!I96</f>
        <v>673192</v>
      </c>
      <c r="L96" s="9"/>
    </row>
    <row r="97" ht="23" spans="1:12">
      <c r="A97" s="8" t="s">
        <v>409</v>
      </c>
      <c r="B97" s="9" t="s">
        <v>410</v>
      </c>
      <c r="C97" s="9" t="s">
        <v>305</v>
      </c>
      <c r="D97" s="9" t="s">
        <v>411</v>
      </c>
      <c r="E97" s="9" t="s">
        <v>307</v>
      </c>
      <c r="F97" s="11" t="s">
        <v>35</v>
      </c>
      <c r="G97" s="11" t="s">
        <v>36</v>
      </c>
      <c r="H97" s="9" t="s">
        <v>42</v>
      </c>
      <c r="I97" s="15">
        <v>1</v>
      </c>
      <c r="J97" s="17">
        <f>[1]Detail!M97+[1]Detail!N97</f>
        <v>267332</v>
      </c>
      <c r="K97" s="17">
        <f>J97*[1]Detail!I97</f>
        <v>267332</v>
      </c>
      <c r="L97" s="9"/>
    </row>
    <row r="98" ht="23" spans="1:12">
      <c r="A98" s="8" t="s">
        <v>412</v>
      </c>
      <c r="B98" s="9" t="s">
        <v>413</v>
      </c>
      <c r="C98" s="9" t="s">
        <v>414</v>
      </c>
      <c r="D98" s="9" t="s">
        <v>415</v>
      </c>
      <c r="E98" s="9" t="s">
        <v>356</v>
      </c>
      <c r="F98" s="11" t="s">
        <v>357</v>
      </c>
      <c r="G98" s="11" t="s">
        <v>41</v>
      </c>
      <c r="H98" s="9" t="s">
        <v>21</v>
      </c>
      <c r="I98" s="15">
        <v>1</v>
      </c>
      <c r="J98" s="17">
        <f>[1]Detail!M98+[1]Detail!N98</f>
        <v>1211782</v>
      </c>
      <c r="K98" s="17">
        <f>J98*[1]Detail!I98</f>
        <v>1211782</v>
      </c>
      <c r="L98" s="9"/>
    </row>
    <row r="99" ht="23" spans="1:12">
      <c r="A99" s="8" t="s">
        <v>416</v>
      </c>
      <c r="B99" s="9" t="s">
        <v>417</v>
      </c>
      <c r="C99" s="9" t="s">
        <v>418</v>
      </c>
      <c r="D99" s="9" t="s">
        <v>419</v>
      </c>
      <c r="E99" s="9" t="s">
        <v>124</v>
      </c>
      <c r="F99" s="11" t="s">
        <v>19</v>
      </c>
      <c r="G99" s="11" t="s">
        <v>20</v>
      </c>
      <c r="H99" s="9" t="s">
        <v>42</v>
      </c>
      <c r="I99" s="15">
        <v>1</v>
      </c>
      <c r="J99" s="17">
        <f>[1]Detail!M99+[1]Detail!N99</f>
        <v>141830</v>
      </c>
      <c r="K99" s="17">
        <f>J99*[1]Detail!I99</f>
        <v>141830</v>
      </c>
      <c r="L99" s="9"/>
    </row>
    <row r="100" ht="23" spans="1:12">
      <c r="A100" s="8" t="s">
        <v>420</v>
      </c>
      <c r="B100" s="9" t="s">
        <v>421</v>
      </c>
      <c r="C100" s="9" t="s">
        <v>422</v>
      </c>
      <c r="D100" s="9" t="s">
        <v>423</v>
      </c>
      <c r="E100" s="9" t="s">
        <v>26</v>
      </c>
      <c r="F100" s="11" t="s">
        <v>19</v>
      </c>
      <c r="G100" s="11" t="s">
        <v>41</v>
      </c>
      <c r="H100" s="9" t="s">
        <v>42</v>
      </c>
      <c r="I100" s="15">
        <v>1</v>
      </c>
      <c r="J100" s="17">
        <f>[1]Detail!M100+[1]Detail!N100</f>
        <v>379444</v>
      </c>
      <c r="K100" s="17">
        <f>J100*[1]Detail!I100</f>
        <v>379444</v>
      </c>
      <c r="L100" s="9"/>
    </row>
    <row r="101" ht="23" spans="1:12">
      <c r="A101" s="8" t="s">
        <v>424</v>
      </c>
      <c r="B101" s="9" t="s">
        <v>425</v>
      </c>
      <c r="C101" s="9" t="s">
        <v>426</v>
      </c>
      <c r="D101" s="9" t="s">
        <v>427</v>
      </c>
      <c r="E101" s="9" t="s">
        <v>428</v>
      </c>
      <c r="F101" s="11" t="s">
        <v>54</v>
      </c>
      <c r="G101" s="11" t="s">
        <v>36</v>
      </c>
      <c r="H101" s="9" t="s">
        <v>21</v>
      </c>
      <c r="I101" s="15">
        <v>1</v>
      </c>
      <c r="J101" s="17">
        <f>[1]Detail!M101+[1]Detail!N101</f>
        <v>633334</v>
      </c>
      <c r="K101" s="17">
        <f>J101*[1]Detail!I101</f>
        <v>633334</v>
      </c>
      <c r="L101" s="9"/>
    </row>
    <row r="102" ht="34.5" spans="1:12">
      <c r="A102" s="8" t="s">
        <v>429</v>
      </c>
      <c r="B102" s="9" t="s">
        <v>430</v>
      </c>
      <c r="C102" s="9" t="s">
        <v>431</v>
      </c>
      <c r="D102" s="9" t="s">
        <v>432</v>
      </c>
      <c r="E102" s="9" t="s">
        <v>179</v>
      </c>
      <c r="F102" s="11" t="s">
        <v>162</v>
      </c>
      <c r="G102" s="11" t="s">
        <v>36</v>
      </c>
      <c r="H102" s="9" t="s">
        <v>42</v>
      </c>
      <c r="I102" s="15">
        <v>1</v>
      </c>
      <c r="J102" s="17">
        <f>[1]Detail!M102+[1]Detail!N102</f>
        <v>242346</v>
      </c>
      <c r="K102" s="17">
        <f>J102*[1]Detail!I102</f>
        <v>242346</v>
      </c>
      <c r="L102" s="9"/>
    </row>
    <row r="103" ht="34.5" spans="1:12">
      <c r="A103" s="8" t="s">
        <v>433</v>
      </c>
      <c r="B103" s="9" t="s">
        <v>434</v>
      </c>
      <c r="C103" s="9" t="s">
        <v>435</v>
      </c>
      <c r="D103" s="9" t="s">
        <v>436</v>
      </c>
      <c r="E103" s="9" t="s">
        <v>179</v>
      </c>
      <c r="F103" s="11" t="s">
        <v>162</v>
      </c>
      <c r="G103" s="11" t="s">
        <v>36</v>
      </c>
      <c r="H103" s="9" t="s">
        <v>42</v>
      </c>
      <c r="I103" s="15">
        <v>1</v>
      </c>
      <c r="J103" s="17">
        <f>[1]Detail!M103+[1]Detail!N103</f>
        <v>161564</v>
      </c>
      <c r="K103" s="17">
        <f>J103*[1]Detail!I103</f>
        <v>161564</v>
      </c>
      <c r="L103" s="9"/>
    </row>
    <row r="104" ht="23" spans="1:12">
      <c r="A104" s="8" t="s">
        <v>437</v>
      </c>
      <c r="B104" s="9" t="s">
        <v>438</v>
      </c>
      <c r="C104" s="9" t="s">
        <v>439</v>
      </c>
      <c r="D104" s="9" t="s">
        <v>440</v>
      </c>
      <c r="E104" s="9" t="s">
        <v>26</v>
      </c>
      <c r="F104" s="11" t="s">
        <v>19</v>
      </c>
      <c r="G104" s="11" t="s">
        <v>20</v>
      </c>
      <c r="H104" s="9" t="s">
        <v>42</v>
      </c>
      <c r="I104" s="15">
        <v>1</v>
      </c>
      <c r="J104" s="17">
        <f>[1]Detail!M104+[1]Detail!N104</f>
        <v>347620</v>
      </c>
      <c r="K104" s="17">
        <f>J104*[1]Detail!I104</f>
        <v>347620</v>
      </c>
      <c r="L104" s="9"/>
    </row>
    <row r="105" ht="23" spans="1:12">
      <c r="A105" s="8" t="s">
        <v>441</v>
      </c>
      <c r="B105" s="9" t="s">
        <v>442</v>
      </c>
      <c r="C105" s="9" t="s">
        <v>443</v>
      </c>
      <c r="D105" s="9" t="s">
        <v>444</v>
      </c>
      <c r="E105" s="9" t="s">
        <v>76</v>
      </c>
      <c r="F105" s="11" t="s">
        <v>54</v>
      </c>
      <c r="G105" s="11" t="s">
        <v>36</v>
      </c>
      <c r="H105" s="9" t="s">
        <v>42</v>
      </c>
      <c r="I105" s="15">
        <v>1</v>
      </c>
      <c r="J105" s="17">
        <f>[1]Detail!M105+[1]Detail!N105</f>
        <v>214422</v>
      </c>
      <c r="K105" s="17">
        <f>J105*[1]Detail!I105</f>
        <v>214422</v>
      </c>
      <c r="L105" s="9"/>
    </row>
    <row r="106" ht="23" spans="1:12">
      <c r="A106" s="8" t="s">
        <v>445</v>
      </c>
      <c r="B106" s="9" t="s">
        <v>446</v>
      </c>
      <c r="C106" s="9" t="s">
        <v>447</v>
      </c>
      <c r="D106" s="9" t="s">
        <v>448</v>
      </c>
      <c r="E106" s="9" t="s">
        <v>267</v>
      </c>
      <c r="F106" s="11" t="s">
        <v>19</v>
      </c>
      <c r="G106" s="11" t="s">
        <v>36</v>
      </c>
      <c r="H106" s="9" t="s">
        <v>42</v>
      </c>
      <c r="I106" s="15">
        <v>1</v>
      </c>
      <c r="J106" s="17">
        <f>[1]Detail!M106+[1]Detail!N106</f>
        <v>264264</v>
      </c>
      <c r="K106" s="17">
        <f>J106*[1]Detail!I106</f>
        <v>264264</v>
      </c>
      <c r="L106" s="9"/>
    </row>
    <row r="107" ht="23" spans="1:12">
      <c r="A107" s="8" t="s">
        <v>449</v>
      </c>
      <c r="B107" s="9" t="s">
        <v>450</v>
      </c>
      <c r="C107" s="9" t="s">
        <v>451</v>
      </c>
      <c r="D107" s="9" t="s">
        <v>452</v>
      </c>
      <c r="E107" s="9" t="s">
        <v>204</v>
      </c>
      <c r="F107" s="11" t="s">
        <v>54</v>
      </c>
      <c r="G107" s="11" t="s">
        <v>20</v>
      </c>
      <c r="H107" s="9" t="s">
        <v>42</v>
      </c>
      <c r="I107" s="15">
        <v>1</v>
      </c>
      <c r="J107" s="17">
        <f>[1]Detail!M107+[1]Detail!N107</f>
        <v>26910</v>
      </c>
      <c r="K107" s="17">
        <f>J107*[1]Detail!I107</f>
        <v>26910</v>
      </c>
      <c r="L107" s="9"/>
    </row>
    <row r="108" ht="23" spans="1:12">
      <c r="A108" s="8" t="s">
        <v>453</v>
      </c>
      <c r="B108" s="9" t="s">
        <v>454</v>
      </c>
      <c r="C108" s="9" t="s">
        <v>455</v>
      </c>
      <c r="D108" s="9" t="s">
        <v>456</v>
      </c>
      <c r="E108" s="9" t="s">
        <v>457</v>
      </c>
      <c r="F108" s="11" t="s">
        <v>19</v>
      </c>
      <c r="G108" s="11" t="s">
        <v>20</v>
      </c>
      <c r="H108" s="9" t="s">
        <v>21</v>
      </c>
      <c r="I108" s="15">
        <v>1</v>
      </c>
      <c r="J108" s="17">
        <f>[1]Detail!M108+[1]Detail!N108</f>
        <v>296218</v>
      </c>
      <c r="K108" s="17">
        <f>J108*[1]Detail!I108</f>
        <v>296218</v>
      </c>
      <c r="L108" s="9"/>
    </row>
    <row r="109" ht="34.5" spans="1:12">
      <c r="A109" s="8" t="s">
        <v>458</v>
      </c>
      <c r="B109" s="9" t="s">
        <v>459</v>
      </c>
      <c r="C109" s="9" t="s">
        <v>460</v>
      </c>
      <c r="D109" s="9" t="s">
        <v>461</v>
      </c>
      <c r="E109" s="9" t="s">
        <v>244</v>
      </c>
      <c r="F109" s="11" t="s">
        <v>162</v>
      </c>
      <c r="G109" s="11" t="s">
        <v>41</v>
      </c>
      <c r="H109" s="9" t="s">
        <v>21</v>
      </c>
      <c r="I109" s="15">
        <v>1</v>
      </c>
      <c r="J109" s="17">
        <f>[1]Detail!M109+[1]Detail!N109</f>
        <v>323128</v>
      </c>
      <c r="K109" s="17">
        <f>J109*[1]Detail!I109</f>
        <v>323128</v>
      </c>
      <c r="L109" s="9"/>
    </row>
    <row r="110" ht="23" spans="1:12">
      <c r="A110" s="8" t="s">
        <v>462</v>
      </c>
      <c r="B110" s="9" t="s">
        <v>463</v>
      </c>
      <c r="C110" s="9" t="s">
        <v>464</v>
      </c>
      <c r="D110" s="9" t="s">
        <v>465</v>
      </c>
      <c r="E110" s="9" t="s">
        <v>76</v>
      </c>
      <c r="F110" s="11" t="s">
        <v>54</v>
      </c>
      <c r="G110" s="11" t="s">
        <v>20</v>
      </c>
      <c r="H110" s="9" t="s">
        <v>21</v>
      </c>
      <c r="I110" s="15">
        <v>1</v>
      </c>
      <c r="J110" s="17">
        <f>[1]Detail!M110+[1]Detail!N110</f>
        <v>352534</v>
      </c>
      <c r="K110" s="17">
        <f>J110*[1]Detail!I110</f>
        <v>352534</v>
      </c>
      <c r="L110" s="9"/>
    </row>
    <row r="111" ht="46" spans="1:12">
      <c r="A111" s="8" t="s">
        <v>466</v>
      </c>
      <c r="B111" s="9" t="s">
        <v>467</v>
      </c>
      <c r="C111" s="9" t="s">
        <v>468</v>
      </c>
      <c r="D111" s="9" t="s">
        <v>469</v>
      </c>
      <c r="E111" s="9" t="s">
        <v>76</v>
      </c>
      <c r="F111" s="11" t="s">
        <v>54</v>
      </c>
      <c r="G111" s="11" t="s">
        <v>20</v>
      </c>
      <c r="H111" s="9" t="s">
        <v>21</v>
      </c>
      <c r="I111" s="15">
        <v>1</v>
      </c>
      <c r="J111" s="17">
        <f>[1]Detail!M111+[1]Detail!N111</f>
        <v>367224</v>
      </c>
      <c r="K111" s="17">
        <f>J111*[1]Detail!I111</f>
        <v>367224</v>
      </c>
      <c r="L111" s="9"/>
    </row>
    <row r="112" ht="23" spans="1:12">
      <c r="A112" s="8" t="s">
        <v>470</v>
      </c>
      <c r="B112" s="9" t="s">
        <v>471</v>
      </c>
      <c r="C112" s="9" t="s">
        <v>472</v>
      </c>
      <c r="D112" s="9" t="s">
        <v>473</v>
      </c>
      <c r="E112" s="9" t="s">
        <v>356</v>
      </c>
      <c r="F112" s="11" t="s">
        <v>357</v>
      </c>
      <c r="G112" s="11" t="s">
        <v>36</v>
      </c>
      <c r="H112" s="9" t="s">
        <v>42</v>
      </c>
      <c r="I112" s="15">
        <v>1</v>
      </c>
      <c r="J112" s="17">
        <f>[1]Detail!M112+[1]Detail!N112</f>
        <v>323128</v>
      </c>
      <c r="K112" s="17">
        <f>J112*[1]Detail!I112</f>
        <v>323128</v>
      </c>
      <c r="L112" s="9"/>
    </row>
    <row r="113" ht="23" spans="1:12">
      <c r="A113" s="8" t="s">
        <v>474</v>
      </c>
      <c r="B113" s="9" t="s">
        <v>475</v>
      </c>
      <c r="C113" s="9" t="s">
        <v>476</v>
      </c>
      <c r="D113" s="9" t="s">
        <v>477</v>
      </c>
      <c r="E113" s="9" t="s">
        <v>478</v>
      </c>
      <c r="F113" s="11" t="s">
        <v>19</v>
      </c>
      <c r="G113" s="11" t="s">
        <v>20</v>
      </c>
      <c r="H113" s="9" t="s">
        <v>21</v>
      </c>
      <c r="I113" s="15">
        <v>1</v>
      </c>
      <c r="J113" s="17">
        <f>[1]Detail!M113+[1]Detail!N113</f>
        <v>484692</v>
      </c>
      <c r="K113" s="17">
        <f>J113*[1]Detail!I113</f>
        <v>484692</v>
      </c>
      <c r="L113" s="9"/>
    </row>
    <row r="114" ht="23" spans="1:12">
      <c r="A114" s="8" t="s">
        <v>479</v>
      </c>
      <c r="B114" s="9" t="s">
        <v>480</v>
      </c>
      <c r="C114" s="9" t="s">
        <v>481</v>
      </c>
      <c r="D114" s="9" t="s">
        <v>482</v>
      </c>
      <c r="E114" s="9" t="s">
        <v>356</v>
      </c>
      <c r="F114" s="11" t="s">
        <v>357</v>
      </c>
      <c r="G114" s="11" t="s">
        <v>20</v>
      </c>
      <c r="H114" s="9" t="s">
        <v>42</v>
      </c>
      <c r="I114" s="15">
        <v>1</v>
      </c>
      <c r="J114" s="17">
        <f>[1]Detail!M114+[1]Detail!N114</f>
        <v>430846</v>
      </c>
      <c r="K114" s="17">
        <f>J114*[1]Detail!I114</f>
        <v>430846</v>
      </c>
      <c r="L114" s="9"/>
    </row>
    <row r="115" ht="46" spans="1:12">
      <c r="A115" s="8" t="s">
        <v>483</v>
      </c>
      <c r="B115" s="9" t="s">
        <v>484</v>
      </c>
      <c r="C115" s="9" t="s">
        <v>485</v>
      </c>
      <c r="D115" s="9" t="s">
        <v>486</v>
      </c>
      <c r="E115" s="9" t="s">
        <v>26</v>
      </c>
      <c r="F115" s="11" t="s">
        <v>19</v>
      </c>
      <c r="G115" s="11" t="s">
        <v>41</v>
      </c>
      <c r="H115" s="9" t="s">
        <v>42</v>
      </c>
      <c r="I115" s="15">
        <v>1</v>
      </c>
      <c r="J115" s="17">
        <f>[1]Detail!M115+[1]Detail!N115</f>
        <v>337818</v>
      </c>
      <c r="K115" s="17">
        <f>J115*[1]Detail!I115</f>
        <v>337818</v>
      </c>
      <c r="L115" s="9"/>
    </row>
    <row r="116" spans="1:12">
      <c r="A116" s="8" t="s">
        <v>487</v>
      </c>
      <c r="B116" s="9" t="s">
        <v>488</v>
      </c>
      <c r="C116" s="9" t="s">
        <v>489</v>
      </c>
      <c r="D116" s="9" t="s">
        <v>490</v>
      </c>
      <c r="E116" s="9" t="s">
        <v>76</v>
      </c>
      <c r="F116" s="11" t="s">
        <v>54</v>
      </c>
      <c r="G116" s="11" t="s">
        <v>36</v>
      </c>
      <c r="H116" s="9" t="s">
        <v>42</v>
      </c>
      <c r="I116" s="15">
        <v>1</v>
      </c>
      <c r="J116" s="17">
        <f>[1]Detail!M116+[1]Detail!N116</f>
        <v>205608</v>
      </c>
      <c r="K116" s="17">
        <f>J116*[1]Detail!I116</f>
        <v>205608</v>
      </c>
      <c r="L116" s="9"/>
    </row>
    <row r="117" ht="23" spans="1:12">
      <c r="A117" s="8" t="s">
        <v>491</v>
      </c>
      <c r="B117" s="9" t="s">
        <v>492</v>
      </c>
      <c r="C117" s="9" t="s">
        <v>493</v>
      </c>
      <c r="D117" s="9" t="s">
        <v>494</v>
      </c>
      <c r="E117" s="9" t="s">
        <v>204</v>
      </c>
      <c r="F117" s="11" t="s">
        <v>54</v>
      </c>
      <c r="G117" s="11" t="s">
        <v>41</v>
      </c>
      <c r="H117" s="9" t="s">
        <v>42</v>
      </c>
      <c r="I117" s="15">
        <v>1</v>
      </c>
      <c r="J117" s="17">
        <f>[1]Detail!M117+[1]Detail!N117</f>
        <v>129246</v>
      </c>
      <c r="K117" s="17">
        <f>J117*[1]Detail!I117</f>
        <v>129246</v>
      </c>
      <c r="L117" s="9"/>
    </row>
    <row r="118" ht="23" spans="1:12">
      <c r="A118" s="8" t="s">
        <v>495</v>
      </c>
      <c r="B118" s="9" t="s">
        <v>496</v>
      </c>
      <c r="C118" s="9" t="s">
        <v>497</v>
      </c>
      <c r="D118" s="9" t="s">
        <v>498</v>
      </c>
      <c r="E118" s="9" t="s">
        <v>499</v>
      </c>
      <c r="F118" s="11" t="s">
        <v>54</v>
      </c>
      <c r="G118" s="11" t="s">
        <v>20</v>
      </c>
      <c r="H118" s="9" t="s">
        <v>21</v>
      </c>
      <c r="I118" s="15">
        <v>1</v>
      </c>
      <c r="J118" s="17">
        <f>[1]Detail!M118+[1]Detail!N118</f>
        <v>281528</v>
      </c>
      <c r="K118" s="17">
        <f>J118*[1]Detail!I118</f>
        <v>281528</v>
      </c>
      <c r="L118" s="9"/>
    </row>
    <row r="119" ht="23" spans="1:12">
      <c r="A119" s="8" t="s">
        <v>500</v>
      </c>
      <c r="B119" s="9" t="s">
        <v>501</v>
      </c>
      <c r="C119" s="9" t="s">
        <v>502</v>
      </c>
      <c r="D119" s="9" t="s">
        <v>503</v>
      </c>
      <c r="E119" s="9" t="s">
        <v>204</v>
      </c>
      <c r="F119" s="11" t="s">
        <v>54</v>
      </c>
      <c r="G119" s="11" t="s">
        <v>41</v>
      </c>
      <c r="H119" s="9" t="s">
        <v>42</v>
      </c>
      <c r="I119" s="15">
        <v>1</v>
      </c>
      <c r="J119" s="17">
        <f>[1]Detail!M119+[1]Detail!N119</f>
        <v>67314</v>
      </c>
      <c r="K119" s="17">
        <f>J119*[1]Detail!I119</f>
        <v>67314</v>
      </c>
      <c r="L119" s="9"/>
    </row>
    <row r="120" ht="23" spans="1:12">
      <c r="A120" s="8" t="s">
        <v>504</v>
      </c>
      <c r="B120" s="9" t="s">
        <v>505</v>
      </c>
      <c r="C120" s="9" t="s">
        <v>506</v>
      </c>
      <c r="D120" s="9" t="s">
        <v>507</v>
      </c>
      <c r="E120" s="9" t="s">
        <v>356</v>
      </c>
      <c r="F120" s="11" t="s">
        <v>357</v>
      </c>
      <c r="G120" s="11" t="s">
        <v>20</v>
      </c>
      <c r="H120" s="9" t="s">
        <v>42</v>
      </c>
      <c r="I120" s="15">
        <v>1</v>
      </c>
      <c r="J120" s="17">
        <f>[1]Detail!M120+[1]Detail!N120</f>
        <v>484692</v>
      </c>
      <c r="K120" s="17">
        <f>J120*[1]Detail!I120</f>
        <v>484692</v>
      </c>
      <c r="L120" s="9"/>
    </row>
    <row r="121" ht="23" spans="1:12">
      <c r="A121" s="8" t="s">
        <v>508</v>
      </c>
      <c r="B121" s="9" t="s">
        <v>509</v>
      </c>
      <c r="C121" s="9" t="s">
        <v>510</v>
      </c>
      <c r="D121" s="9" t="s">
        <v>511</v>
      </c>
      <c r="E121" s="9" t="s">
        <v>76</v>
      </c>
      <c r="F121" s="11" t="s">
        <v>54</v>
      </c>
      <c r="G121" s="11" t="s">
        <v>20</v>
      </c>
      <c r="H121" s="9" t="s">
        <v>512</v>
      </c>
      <c r="I121" s="18">
        <v>1</v>
      </c>
      <c r="J121" s="17">
        <f>[1]Detail!M121+[1]Detail!N121</f>
        <v>220298</v>
      </c>
      <c r="K121" s="17">
        <f>J121*[1]Detail!I121</f>
        <v>220298</v>
      </c>
      <c r="L121" s="9"/>
    </row>
    <row r="122" ht="23" spans="1:12">
      <c r="A122" s="8" t="s">
        <v>513</v>
      </c>
      <c r="B122" s="9" t="s">
        <v>514</v>
      </c>
      <c r="C122" s="9" t="s">
        <v>510</v>
      </c>
      <c r="D122" s="9" t="s">
        <v>515</v>
      </c>
      <c r="E122" s="9" t="s">
        <v>76</v>
      </c>
      <c r="F122" s="11" t="s">
        <v>54</v>
      </c>
      <c r="G122" s="11" t="s">
        <v>20</v>
      </c>
      <c r="H122" s="9" t="s">
        <v>42</v>
      </c>
      <c r="I122" s="15">
        <v>1</v>
      </c>
      <c r="J122" s="17">
        <f>[1]Detail!M122+[1]Detail!N122</f>
        <v>140998</v>
      </c>
      <c r="K122" s="17">
        <f>J122*[1]Detail!I122</f>
        <v>140998</v>
      </c>
      <c r="L122" s="9"/>
    </row>
    <row r="123" ht="34.5" spans="1:12">
      <c r="A123" s="8" t="s">
        <v>516</v>
      </c>
      <c r="B123" s="9" t="s">
        <v>517</v>
      </c>
      <c r="C123" s="9" t="s">
        <v>510</v>
      </c>
      <c r="D123" s="9" t="s">
        <v>518</v>
      </c>
      <c r="E123" s="9" t="s">
        <v>76</v>
      </c>
      <c r="F123" s="11" t="s">
        <v>54</v>
      </c>
      <c r="G123" s="11" t="s">
        <v>20</v>
      </c>
      <c r="H123" s="9" t="s">
        <v>42</v>
      </c>
      <c r="I123" s="15">
        <v>1</v>
      </c>
      <c r="J123" s="17">
        <f>[1]Detail!M123+[1]Detail!N123</f>
        <v>140998</v>
      </c>
      <c r="K123" s="17">
        <f>J123*[1]Detail!I123</f>
        <v>140998</v>
      </c>
      <c r="L123" s="9"/>
    </row>
    <row r="124" spans="1:12">
      <c r="A124" s="8" t="s">
        <v>519</v>
      </c>
      <c r="B124" s="9" t="s">
        <v>520</v>
      </c>
      <c r="C124" s="9" t="s">
        <v>521</v>
      </c>
      <c r="D124" s="9" t="s">
        <v>522</v>
      </c>
      <c r="E124" s="9" t="s">
        <v>76</v>
      </c>
      <c r="F124" s="11" t="s">
        <v>54</v>
      </c>
      <c r="G124" s="11" t="s">
        <v>20</v>
      </c>
      <c r="H124" s="9" t="s">
        <v>21</v>
      </c>
      <c r="I124" s="15">
        <v>1</v>
      </c>
      <c r="J124" s="17">
        <f>[1]Detail!M124+[1]Detail!N124</f>
        <v>602238</v>
      </c>
      <c r="K124" s="17">
        <f>J124*[1]Detail!I124</f>
        <v>602238</v>
      </c>
      <c r="L124" s="9"/>
    </row>
    <row r="125" ht="23" spans="1:12">
      <c r="A125" s="8" t="s">
        <v>523</v>
      </c>
      <c r="B125" s="9" t="s">
        <v>524</v>
      </c>
      <c r="C125" s="9" t="s">
        <v>525</v>
      </c>
      <c r="D125" s="9" t="s">
        <v>526</v>
      </c>
      <c r="E125" s="9" t="s">
        <v>76</v>
      </c>
      <c r="F125" s="11" t="s">
        <v>54</v>
      </c>
      <c r="G125" s="11" t="s">
        <v>20</v>
      </c>
      <c r="H125" s="9" t="s">
        <v>42</v>
      </c>
      <c r="I125" s="15">
        <v>1</v>
      </c>
      <c r="J125" s="17">
        <f>[1]Detail!M125+[1]Detail!N125</f>
        <v>155688</v>
      </c>
      <c r="K125" s="17">
        <f>J125*[1]Detail!I125</f>
        <v>155688</v>
      </c>
      <c r="L125" s="9"/>
    </row>
    <row r="126" ht="23" spans="1:12">
      <c r="A126" s="8" t="s">
        <v>527</v>
      </c>
      <c r="B126" s="9" t="s">
        <v>528</v>
      </c>
      <c r="C126" s="9" t="s">
        <v>529</v>
      </c>
      <c r="D126" s="9" t="s">
        <v>530</v>
      </c>
      <c r="E126" s="9" t="s">
        <v>204</v>
      </c>
      <c r="F126" s="11" t="s">
        <v>54</v>
      </c>
      <c r="G126" s="11" t="s">
        <v>36</v>
      </c>
      <c r="H126" s="9" t="s">
        <v>42</v>
      </c>
      <c r="I126" s="15">
        <v>1</v>
      </c>
      <c r="J126" s="17">
        <f>[1]Detail!M126+[1]Detail!N126</f>
        <v>107692</v>
      </c>
      <c r="K126" s="17">
        <f>J126*[1]Detail!I126</f>
        <v>107692</v>
      </c>
      <c r="L126" s="9"/>
    </row>
    <row r="127" ht="23" spans="1:12">
      <c r="A127" s="8" t="s">
        <v>531</v>
      </c>
      <c r="B127" s="9" t="s">
        <v>532</v>
      </c>
      <c r="C127" s="9" t="s">
        <v>533</v>
      </c>
      <c r="D127" s="9" t="s">
        <v>534</v>
      </c>
      <c r="E127" s="9" t="s">
        <v>26</v>
      </c>
      <c r="F127" s="11" t="s">
        <v>19</v>
      </c>
      <c r="G127" s="11" t="s">
        <v>20</v>
      </c>
      <c r="H127" s="9" t="s">
        <v>42</v>
      </c>
      <c r="I127" s="15">
        <v>1</v>
      </c>
      <c r="J127" s="17">
        <f>[1]Detail!M127+[1]Detail!N127</f>
        <v>195728</v>
      </c>
      <c r="K127" s="17">
        <f>J127*[1]Detail!I127</f>
        <v>195728</v>
      </c>
      <c r="L127" s="9"/>
    </row>
    <row r="128" ht="23" spans="1:12">
      <c r="A128" s="8" t="s">
        <v>535</v>
      </c>
      <c r="B128" s="9" t="s">
        <v>536</v>
      </c>
      <c r="C128" s="9" t="s">
        <v>537</v>
      </c>
      <c r="D128" s="9" t="s">
        <v>538</v>
      </c>
      <c r="E128" s="9" t="s">
        <v>267</v>
      </c>
      <c r="F128" s="11" t="s">
        <v>19</v>
      </c>
      <c r="G128" s="11" t="s">
        <v>20</v>
      </c>
      <c r="H128" s="9" t="s">
        <v>21</v>
      </c>
      <c r="I128" s="15">
        <v>1</v>
      </c>
      <c r="J128" s="17">
        <f>[1]Detail!M128+[1]Detail!N128</f>
        <v>411294</v>
      </c>
      <c r="K128" s="17">
        <f>J128*[1]Detail!I128</f>
        <v>411294</v>
      </c>
      <c r="L128" s="9"/>
    </row>
    <row r="129" ht="23" spans="1:12">
      <c r="A129" s="8" t="s">
        <v>539</v>
      </c>
      <c r="B129" s="9" t="s">
        <v>540</v>
      </c>
      <c r="C129" s="9" t="s">
        <v>541</v>
      </c>
      <c r="D129" s="9" t="s">
        <v>542</v>
      </c>
      <c r="E129" s="9" t="s">
        <v>76</v>
      </c>
      <c r="F129" s="11" t="s">
        <v>54</v>
      </c>
      <c r="G129" s="11" t="s">
        <v>20</v>
      </c>
      <c r="H129" s="9" t="s">
        <v>21</v>
      </c>
      <c r="I129" s="15">
        <v>1</v>
      </c>
      <c r="J129" s="17">
        <f>[1]Detail!M129+[1]Detail!N129</f>
        <v>352534</v>
      </c>
      <c r="K129" s="17">
        <f>J129*[1]Detail!I129</f>
        <v>352534</v>
      </c>
      <c r="L129" s="9"/>
    </row>
    <row r="130" spans="1:12">
      <c r="A130" s="8" t="s">
        <v>543</v>
      </c>
      <c r="B130" s="9" t="s">
        <v>544</v>
      </c>
      <c r="C130" s="9" t="s">
        <v>545</v>
      </c>
      <c r="D130" s="9" t="s">
        <v>546</v>
      </c>
      <c r="E130" s="9" t="s">
        <v>76</v>
      </c>
      <c r="F130" s="11" t="s">
        <v>54</v>
      </c>
      <c r="G130" s="11" t="s">
        <v>41</v>
      </c>
      <c r="H130" s="9" t="s">
        <v>42</v>
      </c>
      <c r="I130" s="15">
        <v>1</v>
      </c>
      <c r="J130" s="17">
        <f>[1]Detail!M130+[1]Detail!N130</f>
        <v>155688</v>
      </c>
      <c r="K130" s="17">
        <f>J130*[1]Detail!I130</f>
        <v>155688</v>
      </c>
      <c r="L130" s="9"/>
    </row>
    <row r="131" ht="34.5" spans="1:12">
      <c r="A131" s="8" t="s">
        <v>547</v>
      </c>
      <c r="B131" s="9" t="s">
        <v>548</v>
      </c>
      <c r="C131" s="9" t="s">
        <v>549</v>
      </c>
      <c r="D131" s="9" t="s">
        <v>550</v>
      </c>
      <c r="E131" s="9" t="s">
        <v>179</v>
      </c>
      <c r="F131" s="11" t="s">
        <v>162</v>
      </c>
      <c r="G131" s="11" t="s">
        <v>20</v>
      </c>
      <c r="H131" s="9" t="s">
        <v>42</v>
      </c>
      <c r="I131" s="15">
        <v>1</v>
      </c>
      <c r="J131" s="17">
        <f>[1]Detail!M131+[1]Detail!N131</f>
        <v>323128</v>
      </c>
      <c r="K131" s="17">
        <f>J131*[1]Detail!I131</f>
        <v>323128</v>
      </c>
      <c r="L131" s="9"/>
    </row>
    <row r="132" ht="23" spans="1:12">
      <c r="A132" s="8" t="s">
        <v>551</v>
      </c>
      <c r="B132" s="9" t="s">
        <v>552</v>
      </c>
      <c r="C132" s="9" t="s">
        <v>553</v>
      </c>
      <c r="D132" s="9" t="s">
        <v>554</v>
      </c>
      <c r="E132" s="9" t="s">
        <v>204</v>
      </c>
      <c r="F132" s="11" t="s">
        <v>54</v>
      </c>
      <c r="G132" s="11" t="s">
        <v>20</v>
      </c>
      <c r="H132" s="9" t="s">
        <v>42</v>
      </c>
      <c r="I132" s="15">
        <v>1</v>
      </c>
      <c r="J132" s="17">
        <f>[1]Detail!M132+[1]Detail!N132</f>
        <v>67314</v>
      </c>
      <c r="K132" s="17">
        <f>J132*[1]Detail!I132</f>
        <v>67314</v>
      </c>
      <c r="L132" s="9"/>
    </row>
    <row r="133" spans="1:12">
      <c r="A133" s="8" t="s">
        <v>555</v>
      </c>
      <c r="B133" s="9" t="s">
        <v>556</v>
      </c>
      <c r="C133" s="9" t="s">
        <v>414</v>
      </c>
      <c r="D133" s="9" t="s">
        <v>557</v>
      </c>
      <c r="E133" s="9" t="s">
        <v>76</v>
      </c>
      <c r="F133" s="11" t="s">
        <v>54</v>
      </c>
      <c r="G133" s="11" t="s">
        <v>41</v>
      </c>
      <c r="H133" s="9" t="s">
        <v>21</v>
      </c>
      <c r="I133" s="15">
        <v>1</v>
      </c>
      <c r="J133" s="17">
        <f>[1]Detail!M133+[1]Detail!N133</f>
        <v>337844</v>
      </c>
      <c r="K133" s="17">
        <f>J133*[1]Detail!I133</f>
        <v>337844</v>
      </c>
      <c r="L133" s="9"/>
    </row>
    <row r="134" spans="1:12">
      <c r="A134" s="8" t="s">
        <v>558</v>
      </c>
      <c r="B134" s="9" t="s">
        <v>559</v>
      </c>
      <c r="C134" s="9" t="s">
        <v>560</v>
      </c>
      <c r="D134" s="9" t="s">
        <v>561</v>
      </c>
      <c r="E134" s="9" t="s">
        <v>76</v>
      </c>
      <c r="F134" s="11" t="s">
        <v>54</v>
      </c>
      <c r="G134" s="11" t="s">
        <v>36</v>
      </c>
      <c r="H134" s="9" t="s">
        <v>42</v>
      </c>
      <c r="I134" s="15">
        <v>1</v>
      </c>
      <c r="J134" s="17">
        <f>[1]Detail!M134+[1]Detail!N134</f>
        <v>155688</v>
      </c>
      <c r="K134" s="17">
        <f>J134*[1]Detail!I134</f>
        <v>155688</v>
      </c>
      <c r="L134" s="9"/>
    </row>
    <row r="135" ht="23" spans="1:12">
      <c r="A135" s="8" t="s">
        <v>562</v>
      </c>
      <c r="B135" s="9" t="s">
        <v>563</v>
      </c>
      <c r="C135" s="9" t="s">
        <v>564</v>
      </c>
      <c r="D135" s="9" t="s">
        <v>565</v>
      </c>
      <c r="E135" s="9" t="s">
        <v>566</v>
      </c>
      <c r="F135" s="11" t="s">
        <v>567</v>
      </c>
      <c r="G135" s="11" t="s">
        <v>36</v>
      </c>
      <c r="H135" s="9" t="s">
        <v>42</v>
      </c>
      <c r="I135" s="15">
        <v>1</v>
      </c>
      <c r="J135" s="17">
        <f>[1]Detail!M135+[1]Detail!N135</f>
        <v>126308</v>
      </c>
      <c r="K135" s="17">
        <f>J135*[1]Detail!I135</f>
        <v>126308</v>
      </c>
      <c r="L135" s="9"/>
    </row>
    <row r="136" ht="23" spans="1:12">
      <c r="A136" s="8" t="s">
        <v>568</v>
      </c>
      <c r="B136" s="9" t="s">
        <v>569</v>
      </c>
      <c r="C136" s="9" t="s">
        <v>570</v>
      </c>
      <c r="D136" s="9" t="s">
        <v>571</v>
      </c>
      <c r="E136" s="9" t="s">
        <v>572</v>
      </c>
      <c r="F136" s="11" t="s">
        <v>54</v>
      </c>
      <c r="G136" s="11" t="s">
        <v>20</v>
      </c>
      <c r="H136" s="9" t="s">
        <v>42</v>
      </c>
      <c r="I136" s="15">
        <v>1</v>
      </c>
      <c r="J136" s="17">
        <f>[1]Detail!M136+[1]Detail!N136</f>
        <v>68562</v>
      </c>
      <c r="K136" s="17">
        <f>J136*[1]Detail!I136</f>
        <v>68562</v>
      </c>
      <c r="L136" s="9"/>
    </row>
    <row r="137" ht="23" spans="1:12">
      <c r="A137" s="8" t="s">
        <v>573</v>
      </c>
      <c r="B137" s="9" t="s">
        <v>574</v>
      </c>
      <c r="C137" s="9" t="s">
        <v>575</v>
      </c>
      <c r="D137" s="9" t="s">
        <v>576</v>
      </c>
      <c r="E137" s="9" t="s">
        <v>224</v>
      </c>
      <c r="F137" s="11" t="s">
        <v>19</v>
      </c>
      <c r="G137" s="11" t="s">
        <v>20</v>
      </c>
      <c r="H137" s="9" t="s">
        <v>42</v>
      </c>
      <c r="I137" s="15">
        <v>1</v>
      </c>
      <c r="J137" s="17">
        <f>[1]Detail!M137+[1]Detail!N137</f>
        <v>323128</v>
      </c>
      <c r="K137" s="17">
        <f>J137*[1]Detail!I137</f>
        <v>323128</v>
      </c>
      <c r="L137" s="9"/>
    </row>
    <row r="138" spans="1:12">
      <c r="A138" s="8" t="s">
        <v>577</v>
      </c>
      <c r="B138" s="9" t="s">
        <v>578</v>
      </c>
      <c r="C138" s="9" t="s">
        <v>579</v>
      </c>
      <c r="D138" s="9" t="s">
        <v>580</v>
      </c>
      <c r="E138" s="9" t="s">
        <v>478</v>
      </c>
      <c r="F138" s="11" t="s">
        <v>19</v>
      </c>
      <c r="G138" s="11" t="s">
        <v>36</v>
      </c>
      <c r="H138" s="9" t="s">
        <v>42</v>
      </c>
      <c r="I138" s="15">
        <v>1</v>
      </c>
      <c r="J138" s="17">
        <f>[1]Detail!M138+[1]Detail!N138</f>
        <v>296192</v>
      </c>
      <c r="K138" s="17">
        <f>J138*[1]Detail!I138</f>
        <v>296192</v>
      </c>
      <c r="L138" s="9"/>
    </row>
    <row r="139" ht="34.5" spans="1:12">
      <c r="A139" s="8" t="s">
        <v>581</v>
      </c>
      <c r="B139" s="9" t="s">
        <v>582</v>
      </c>
      <c r="C139" s="9" t="s">
        <v>583</v>
      </c>
      <c r="D139" s="9" t="s">
        <v>584</v>
      </c>
      <c r="E139" s="9" t="s">
        <v>585</v>
      </c>
      <c r="F139" s="11" t="s">
        <v>54</v>
      </c>
      <c r="G139" s="11" t="s">
        <v>36</v>
      </c>
      <c r="H139" s="9" t="s">
        <v>42</v>
      </c>
      <c r="I139" s="15">
        <v>1</v>
      </c>
      <c r="J139" s="17">
        <f>[1]Detail!M139+[1]Detail!N139</f>
        <v>232050</v>
      </c>
      <c r="K139" s="17">
        <f>J139*[1]Detail!I139</f>
        <v>232050</v>
      </c>
      <c r="L139" s="9"/>
    </row>
    <row r="140" ht="34.5" spans="1:12">
      <c r="A140" s="8" t="s">
        <v>586</v>
      </c>
      <c r="B140" s="9" t="s">
        <v>587</v>
      </c>
      <c r="C140" s="9" t="s">
        <v>588</v>
      </c>
      <c r="D140" s="9" t="s">
        <v>589</v>
      </c>
      <c r="E140" s="9" t="s">
        <v>179</v>
      </c>
      <c r="F140" s="11" t="s">
        <v>162</v>
      </c>
      <c r="G140" s="11" t="s">
        <v>20</v>
      </c>
      <c r="H140" s="9" t="s">
        <v>21</v>
      </c>
      <c r="I140" s="15">
        <v>1</v>
      </c>
      <c r="J140" s="17">
        <f>[1]Detail!M140+[1]Detail!N140</f>
        <v>484692</v>
      </c>
      <c r="K140" s="17">
        <f>J140*[1]Detail!I140</f>
        <v>484692</v>
      </c>
      <c r="L140" s="9"/>
    </row>
    <row r="141" ht="23" spans="1:12">
      <c r="A141" s="8" t="s">
        <v>590</v>
      </c>
      <c r="B141" s="9" t="s">
        <v>591</v>
      </c>
      <c r="C141" s="9" t="s">
        <v>592</v>
      </c>
      <c r="D141" s="9" t="s">
        <v>593</v>
      </c>
      <c r="E141" s="9" t="s">
        <v>356</v>
      </c>
      <c r="F141" s="11" t="s">
        <v>357</v>
      </c>
      <c r="G141" s="11" t="s">
        <v>20</v>
      </c>
      <c r="H141" s="9" t="s">
        <v>42</v>
      </c>
      <c r="I141" s="15">
        <v>1</v>
      </c>
      <c r="J141" s="17">
        <f>[1]Detail!M141+[1]Detail!N141</f>
        <v>538564</v>
      </c>
      <c r="K141" s="17">
        <f>J141*[1]Detail!I141</f>
        <v>538564</v>
      </c>
      <c r="L141" s="9"/>
    </row>
    <row r="142" ht="23" spans="1:12">
      <c r="A142" s="8" t="s">
        <v>594</v>
      </c>
      <c r="B142" s="9" t="s">
        <v>595</v>
      </c>
      <c r="C142" s="9" t="s">
        <v>596</v>
      </c>
      <c r="D142" s="9" t="s">
        <v>597</v>
      </c>
      <c r="E142" s="9" t="s">
        <v>249</v>
      </c>
      <c r="F142" s="11" t="s">
        <v>19</v>
      </c>
      <c r="G142" s="11" t="s">
        <v>20</v>
      </c>
      <c r="H142" s="9" t="s">
        <v>42</v>
      </c>
      <c r="I142" s="15">
        <v>1</v>
      </c>
      <c r="J142" s="17">
        <f>[1]Detail!M142+[1]Detail!N142</f>
        <v>92560</v>
      </c>
      <c r="K142" s="17">
        <f>J142*[1]Detail!I142</f>
        <v>92560</v>
      </c>
      <c r="L142" s="9"/>
    </row>
    <row r="143" ht="23" spans="1:12">
      <c r="A143" s="8" t="s">
        <v>598</v>
      </c>
      <c r="B143" s="9" t="s">
        <v>599</v>
      </c>
      <c r="C143" s="9" t="s">
        <v>600</v>
      </c>
      <c r="D143" s="9" t="s">
        <v>601</v>
      </c>
      <c r="E143" s="9" t="s">
        <v>244</v>
      </c>
      <c r="F143" s="11" t="s">
        <v>162</v>
      </c>
      <c r="G143" s="11" t="s">
        <v>20</v>
      </c>
      <c r="H143" s="9" t="s">
        <v>21</v>
      </c>
      <c r="I143" s="15">
        <v>1</v>
      </c>
      <c r="J143" s="17">
        <f>[1]Detail!M143+[1]Detail!N143</f>
        <v>484692</v>
      </c>
      <c r="K143" s="17">
        <f>J143*[1]Detail!I143</f>
        <v>484692</v>
      </c>
      <c r="L143" s="9"/>
    </row>
    <row r="144" ht="23" spans="1:12">
      <c r="A144" s="8" t="s">
        <v>602</v>
      </c>
      <c r="B144" s="9" t="s">
        <v>603</v>
      </c>
      <c r="C144" s="9" t="s">
        <v>604</v>
      </c>
      <c r="D144" s="9" t="s">
        <v>605</v>
      </c>
      <c r="E144" s="9" t="s">
        <v>606</v>
      </c>
      <c r="F144" s="11" t="s">
        <v>54</v>
      </c>
      <c r="G144" s="11" t="s">
        <v>20</v>
      </c>
      <c r="H144" s="9" t="s">
        <v>21</v>
      </c>
      <c r="I144" s="15">
        <v>1</v>
      </c>
      <c r="J144" s="17">
        <f>[1]Detail!M144+[1]Detail!N144</f>
        <v>188474</v>
      </c>
      <c r="K144" s="17">
        <f>J144*[1]Detail!I144</f>
        <v>188474</v>
      </c>
      <c r="L144" s="9"/>
    </row>
    <row r="145" ht="34.5" spans="1:12">
      <c r="A145" s="8" t="s">
        <v>607</v>
      </c>
      <c r="B145" s="9" t="s">
        <v>608</v>
      </c>
      <c r="C145" s="9" t="s">
        <v>609</v>
      </c>
      <c r="D145" s="9" t="s">
        <v>610</v>
      </c>
      <c r="E145" s="9" t="s">
        <v>611</v>
      </c>
      <c r="F145" s="11" t="s">
        <v>54</v>
      </c>
      <c r="G145" s="11" t="s">
        <v>20</v>
      </c>
      <c r="H145" s="9" t="s">
        <v>21</v>
      </c>
      <c r="I145" s="15">
        <v>1</v>
      </c>
      <c r="J145" s="17">
        <f>[1]Detail!M145+[1]Detail!N145</f>
        <v>234988</v>
      </c>
      <c r="K145" s="17">
        <f>J145*[1]Detail!I145</f>
        <v>234988</v>
      </c>
      <c r="L145" s="9"/>
    </row>
    <row r="146" spans="1:12">
      <c r="A146" s="8"/>
      <c r="B146" s="9"/>
      <c r="C146" s="9"/>
      <c r="D146" s="10" t="s">
        <v>612</v>
      </c>
      <c r="E146" s="9"/>
      <c r="F146" s="11"/>
      <c r="G146" s="11"/>
      <c r="H146" s="9"/>
      <c r="I146" s="15"/>
      <c r="J146" s="17"/>
      <c r="K146" s="17"/>
      <c r="L146" s="9"/>
    </row>
    <row r="147" ht="57.5" spans="1:12">
      <c r="A147" s="8"/>
      <c r="B147" s="9"/>
      <c r="C147" s="9"/>
      <c r="D147" s="10" t="s">
        <v>613</v>
      </c>
      <c r="E147" s="9"/>
      <c r="F147" s="11"/>
      <c r="G147" s="11"/>
      <c r="H147" s="9"/>
      <c r="I147" s="15"/>
      <c r="J147" s="17"/>
      <c r="K147" s="17"/>
      <c r="L147" s="9"/>
    </row>
    <row r="148" ht="23" spans="1:12">
      <c r="A148" s="8" t="s">
        <v>614</v>
      </c>
      <c r="B148" s="9" t="s">
        <v>615</v>
      </c>
      <c r="C148" s="9" t="s">
        <v>616</v>
      </c>
      <c r="D148" s="9" t="s">
        <v>617</v>
      </c>
      <c r="E148" s="9" t="s">
        <v>76</v>
      </c>
      <c r="F148" s="11" t="s">
        <v>54</v>
      </c>
      <c r="G148" s="11" t="s">
        <v>41</v>
      </c>
      <c r="H148" s="9" t="s">
        <v>21</v>
      </c>
      <c r="I148" s="15">
        <v>1</v>
      </c>
      <c r="J148" s="17">
        <f>[1]Detail!M148+[1]Detail!N148</f>
        <v>337844</v>
      </c>
      <c r="K148" s="17">
        <f>J148*[1]Detail!I148</f>
        <v>337844</v>
      </c>
      <c r="L148" s="9"/>
    </row>
    <row r="149" ht="34.5" spans="1:12">
      <c r="A149" s="8" t="s">
        <v>618</v>
      </c>
      <c r="B149" s="9" t="s">
        <v>619</v>
      </c>
      <c r="C149" s="9" t="s">
        <v>620</v>
      </c>
      <c r="D149" s="9" t="s">
        <v>621</v>
      </c>
      <c r="E149" s="9" t="s">
        <v>611</v>
      </c>
      <c r="F149" s="11" t="s">
        <v>54</v>
      </c>
      <c r="G149" s="11" t="s">
        <v>20</v>
      </c>
      <c r="H149" s="9" t="s">
        <v>21</v>
      </c>
      <c r="I149" s="15">
        <v>1</v>
      </c>
      <c r="J149" s="17">
        <f>[1]Detail!M149+[1]Detail!N149</f>
        <v>274144</v>
      </c>
      <c r="K149" s="17">
        <f>J149*[1]Detail!I149</f>
        <v>274144</v>
      </c>
      <c r="L149" s="9"/>
    </row>
    <row r="150" ht="46" spans="1:12">
      <c r="A150" s="8" t="s">
        <v>622</v>
      </c>
      <c r="B150" s="9" t="s">
        <v>623</v>
      </c>
      <c r="C150" s="9" t="s">
        <v>624</v>
      </c>
      <c r="D150" s="9" t="s">
        <v>625</v>
      </c>
      <c r="E150" s="9" t="s">
        <v>76</v>
      </c>
      <c r="F150" s="11" t="s">
        <v>54</v>
      </c>
      <c r="G150" s="11" t="s">
        <v>20</v>
      </c>
      <c r="H150" s="9" t="s">
        <v>42</v>
      </c>
      <c r="I150" s="15">
        <v>1</v>
      </c>
      <c r="J150" s="17">
        <f>[1]Detail!M150+[1]Detail!N150</f>
        <v>202670</v>
      </c>
      <c r="K150" s="17">
        <f>J150*[1]Detail!I150</f>
        <v>202670</v>
      </c>
      <c r="L150" s="9"/>
    </row>
    <row r="151" ht="23" spans="1:12">
      <c r="A151" s="8" t="s">
        <v>626</v>
      </c>
      <c r="B151" s="9" t="s">
        <v>627</v>
      </c>
      <c r="C151" s="9" t="s">
        <v>628</v>
      </c>
      <c r="D151" s="9" t="s">
        <v>629</v>
      </c>
      <c r="E151" s="9" t="s">
        <v>34</v>
      </c>
      <c r="F151" s="11" t="s">
        <v>35</v>
      </c>
      <c r="G151" s="11" t="s">
        <v>20</v>
      </c>
      <c r="H151" s="9" t="s">
        <v>21</v>
      </c>
      <c r="I151" s="15">
        <v>1</v>
      </c>
      <c r="J151" s="17">
        <f>[1]Detail!M151+[1]Detail!N151</f>
        <v>499408</v>
      </c>
      <c r="K151" s="17">
        <f>J151*[1]Detail!I151</f>
        <v>499408</v>
      </c>
      <c r="L151" s="9"/>
    </row>
    <row r="152" ht="23" spans="1:12">
      <c r="A152" s="8" t="s">
        <v>630</v>
      </c>
      <c r="B152" s="9" t="s">
        <v>631</v>
      </c>
      <c r="C152" s="9" t="s">
        <v>632</v>
      </c>
      <c r="D152" s="9" t="s">
        <v>633</v>
      </c>
      <c r="E152" s="9" t="s">
        <v>76</v>
      </c>
      <c r="F152" s="11" t="s">
        <v>54</v>
      </c>
      <c r="G152" s="11" t="s">
        <v>36</v>
      </c>
      <c r="H152" s="9" t="s">
        <v>42</v>
      </c>
      <c r="I152" s="15">
        <v>1</v>
      </c>
      <c r="J152" s="17">
        <f>[1]Detail!M152+[1]Detail!N152</f>
        <v>185068</v>
      </c>
      <c r="K152" s="17">
        <f>J152*[1]Detail!I152</f>
        <v>185068</v>
      </c>
      <c r="L152" s="9"/>
    </row>
    <row r="153" ht="46" spans="1:12">
      <c r="A153" s="8" t="s">
        <v>634</v>
      </c>
      <c r="B153" s="9" t="s">
        <v>635</v>
      </c>
      <c r="C153" s="9" t="s">
        <v>636</v>
      </c>
      <c r="D153" s="9" t="s">
        <v>637</v>
      </c>
      <c r="E153" s="9" t="s">
        <v>638</v>
      </c>
      <c r="F153" s="11" t="s">
        <v>19</v>
      </c>
      <c r="G153" s="11" t="s">
        <v>36</v>
      </c>
      <c r="H153" s="9" t="s">
        <v>21</v>
      </c>
      <c r="I153" s="15">
        <v>1</v>
      </c>
      <c r="J153" s="17">
        <f>[1]Detail!M153+[1]Detail!N153</f>
        <v>499408</v>
      </c>
      <c r="K153" s="17">
        <f>J153*[1]Detail!I153</f>
        <v>499408</v>
      </c>
      <c r="L153" s="9"/>
    </row>
    <row r="154" ht="92" spans="1:12">
      <c r="A154" s="8" t="s">
        <v>639</v>
      </c>
      <c r="B154" s="9" t="s">
        <v>640</v>
      </c>
      <c r="C154" s="9" t="s">
        <v>641</v>
      </c>
      <c r="D154" s="9" t="s">
        <v>642</v>
      </c>
      <c r="E154" s="9" t="s">
        <v>76</v>
      </c>
      <c r="F154" s="11" t="s">
        <v>54</v>
      </c>
      <c r="G154" s="11" t="s">
        <v>36</v>
      </c>
      <c r="H154" s="9" t="s">
        <v>42</v>
      </c>
      <c r="I154" s="15">
        <v>1</v>
      </c>
      <c r="J154" s="17">
        <f>[1]Detail!M154+[1]Detail!N154</f>
        <v>140998</v>
      </c>
      <c r="K154" s="17">
        <f>J154*[1]Detail!I154</f>
        <v>140998</v>
      </c>
      <c r="L154" s="9"/>
    </row>
    <row r="155" ht="57.5" spans="1:12">
      <c r="A155" s="8" t="s">
        <v>643</v>
      </c>
      <c r="B155" s="9" t="s">
        <v>644</v>
      </c>
      <c r="C155" s="9" t="s">
        <v>645</v>
      </c>
      <c r="D155" s="9" t="s">
        <v>646</v>
      </c>
      <c r="E155" s="9" t="s">
        <v>244</v>
      </c>
      <c r="F155" s="11" t="s">
        <v>162</v>
      </c>
      <c r="G155" s="11" t="s">
        <v>20</v>
      </c>
      <c r="H155" s="9" t="s">
        <v>42</v>
      </c>
      <c r="I155" s="15">
        <v>1</v>
      </c>
      <c r="J155" s="17">
        <f>[1]Detail!M155+[1]Detail!N155</f>
        <v>188474</v>
      </c>
      <c r="K155" s="17">
        <f>J155*[1]Detail!I155</f>
        <v>188474</v>
      </c>
      <c r="L155" s="9"/>
    </row>
    <row r="156" ht="23" spans="1:12">
      <c r="A156" s="8" t="s">
        <v>647</v>
      </c>
      <c r="B156" s="9" t="s">
        <v>648</v>
      </c>
      <c r="C156" s="9" t="s">
        <v>649</v>
      </c>
      <c r="D156" s="9" t="s">
        <v>650</v>
      </c>
      <c r="E156" s="9" t="s">
        <v>267</v>
      </c>
      <c r="F156" s="11" t="s">
        <v>19</v>
      </c>
      <c r="G156" s="11" t="s">
        <v>36</v>
      </c>
      <c r="H156" s="9" t="s">
        <v>21</v>
      </c>
      <c r="I156" s="15">
        <v>1</v>
      </c>
      <c r="J156" s="17">
        <f>[1]Detail!M156+[1]Detail!N156</f>
        <v>478842</v>
      </c>
      <c r="K156" s="17">
        <f>J156*[1]Detail!I156</f>
        <v>478842</v>
      </c>
      <c r="L156" s="9"/>
    </row>
    <row r="157" ht="34.5" spans="1:12">
      <c r="A157" s="8" t="s">
        <v>651</v>
      </c>
      <c r="B157" s="9" t="s">
        <v>652</v>
      </c>
      <c r="C157" s="9" t="s">
        <v>653</v>
      </c>
      <c r="D157" s="9" t="s">
        <v>654</v>
      </c>
      <c r="E157" s="9" t="s">
        <v>356</v>
      </c>
      <c r="F157" s="11" t="s">
        <v>357</v>
      </c>
      <c r="G157" s="11" t="s">
        <v>36</v>
      </c>
      <c r="H157" s="9" t="s">
        <v>42</v>
      </c>
      <c r="I157" s="15">
        <v>1</v>
      </c>
      <c r="J157" s="17">
        <f>[1]Detail!M157+[1]Detail!N157</f>
        <v>242346</v>
      </c>
      <c r="K157" s="17">
        <f>J157*[1]Detail!I157</f>
        <v>242346</v>
      </c>
      <c r="L157" s="9"/>
    </row>
    <row r="158" ht="23" spans="1:12">
      <c r="A158" s="8" t="s">
        <v>655</v>
      </c>
      <c r="B158" s="9" t="s">
        <v>656</v>
      </c>
      <c r="C158" s="9" t="s">
        <v>657</v>
      </c>
      <c r="D158" s="9" t="s">
        <v>658</v>
      </c>
      <c r="E158" s="9" t="s">
        <v>585</v>
      </c>
      <c r="F158" s="11" t="s">
        <v>54</v>
      </c>
      <c r="G158" s="11" t="s">
        <v>20</v>
      </c>
      <c r="H158" s="9" t="s">
        <v>42</v>
      </c>
      <c r="I158" s="15">
        <v>1</v>
      </c>
      <c r="J158" s="17">
        <f>[1]Detail!M158+[1]Detail!N158</f>
        <v>140998</v>
      </c>
      <c r="K158" s="17">
        <f>J158*[1]Detail!I158</f>
        <v>140998</v>
      </c>
      <c r="L158" s="9"/>
    </row>
    <row r="159" ht="34.5" spans="1:12">
      <c r="A159" s="8" t="s">
        <v>659</v>
      </c>
      <c r="B159" s="9" t="s">
        <v>660</v>
      </c>
      <c r="C159" s="9" t="s">
        <v>661</v>
      </c>
      <c r="D159" s="9" t="s">
        <v>662</v>
      </c>
      <c r="E159" s="9" t="s">
        <v>76</v>
      </c>
      <c r="F159" s="11" t="s">
        <v>54</v>
      </c>
      <c r="G159" s="11" t="s">
        <v>20</v>
      </c>
      <c r="H159" s="9" t="s">
        <v>512</v>
      </c>
      <c r="I159" s="18">
        <v>1</v>
      </c>
      <c r="J159" s="17">
        <f>[1]Detail!M159+[1]Detail!N159</f>
        <v>851942</v>
      </c>
      <c r="K159" s="17">
        <f>J159*[1]Detail!I159</f>
        <v>851942</v>
      </c>
      <c r="L159" s="9"/>
    </row>
    <row r="160" ht="34.5" spans="1:12">
      <c r="A160" s="8" t="s">
        <v>663</v>
      </c>
      <c r="B160" s="9" t="s">
        <v>664</v>
      </c>
      <c r="C160" s="9" t="s">
        <v>665</v>
      </c>
      <c r="D160" s="9" t="s">
        <v>666</v>
      </c>
      <c r="E160" s="9" t="s">
        <v>179</v>
      </c>
      <c r="F160" s="11" t="s">
        <v>162</v>
      </c>
      <c r="G160" s="11" t="s">
        <v>36</v>
      </c>
      <c r="H160" s="9" t="s">
        <v>42</v>
      </c>
      <c r="I160" s="15">
        <v>1</v>
      </c>
      <c r="J160" s="17">
        <f>[1]Detail!M160+[1]Detail!N160</f>
        <v>134628</v>
      </c>
      <c r="K160" s="17">
        <f>J160*[1]Detail!I160</f>
        <v>134628</v>
      </c>
      <c r="L160" s="9"/>
    </row>
    <row r="161" ht="46" spans="1:12">
      <c r="A161" s="8" t="s">
        <v>667</v>
      </c>
      <c r="B161" s="9" t="s">
        <v>668</v>
      </c>
      <c r="C161" s="9" t="s">
        <v>669</v>
      </c>
      <c r="D161" s="9" t="s">
        <v>670</v>
      </c>
      <c r="E161" s="9" t="s">
        <v>195</v>
      </c>
      <c r="F161" s="11" t="s">
        <v>19</v>
      </c>
      <c r="G161" s="11" t="s">
        <v>20</v>
      </c>
      <c r="H161" s="9" t="s">
        <v>42</v>
      </c>
      <c r="I161" s="15">
        <v>1</v>
      </c>
      <c r="J161" s="17">
        <f>[1]Detail!M161+[1]Detail!N161</f>
        <v>506246</v>
      </c>
      <c r="K161" s="17">
        <f>J161*[1]Detail!I161</f>
        <v>506246</v>
      </c>
      <c r="L161" s="9"/>
    </row>
    <row r="162" ht="23" spans="1:12">
      <c r="A162" s="8" t="s">
        <v>671</v>
      </c>
      <c r="B162" s="9" t="s">
        <v>672</v>
      </c>
      <c r="C162" s="9" t="s">
        <v>673</v>
      </c>
      <c r="D162" s="9" t="s">
        <v>674</v>
      </c>
      <c r="E162" s="9" t="s">
        <v>76</v>
      </c>
      <c r="F162" s="11" t="s">
        <v>54</v>
      </c>
      <c r="G162" s="11" t="s">
        <v>20</v>
      </c>
      <c r="H162" s="9" t="s">
        <v>42</v>
      </c>
      <c r="I162" s="15">
        <v>1</v>
      </c>
      <c r="J162" s="17">
        <f>[1]Detail!M162+[1]Detail!N162</f>
        <v>143936</v>
      </c>
      <c r="K162" s="17">
        <f>J162*[1]Detail!I162</f>
        <v>143936</v>
      </c>
      <c r="L162" s="9"/>
    </row>
    <row r="163" ht="23" spans="1:12">
      <c r="A163" s="8" t="s">
        <v>675</v>
      </c>
      <c r="B163" s="9" t="s">
        <v>676</v>
      </c>
      <c r="C163" s="9" t="s">
        <v>677</v>
      </c>
      <c r="D163" s="9" t="s">
        <v>678</v>
      </c>
      <c r="E163" s="9" t="s">
        <v>124</v>
      </c>
      <c r="F163" s="11" t="s">
        <v>19</v>
      </c>
      <c r="G163" s="11" t="s">
        <v>20</v>
      </c>
      <c r="H163" s="9" t="s">
        <v>42</v>
      </c>
      <c r="I163" s="15">
        <v>1</v>
      </c>
      <c r="J163" s="17">
        <f>[1]Detail!M163+[1]Detail!N163</f>
        <v>278590</v>
      </c>
      <c r="K163" s="17">
        <f>J163*[1]Detail!I163</f>
        <v>278590</v>
      </c>
      <c r="L163" s="9"/>
    </row>
    <row r="164" ht="46" spans="1:12">
      <c r="A164" s="8" t="s">
        <v>679</v>
      </c>
      <c r="B164" s="9" t="s">
        <v>680</v>
      </c>
      <c r="C164" s="9" t="s">
        <v>681</v>
      </c>
      <c r="D164" s="9" t="s">
        <v>682</v>
      </c>
      <c r="E164" s="9" t="s">
        <v>34</v>
      </c>
      <c r="F164" s="11" t="s">
        <v>35</v>
      </c>
      <c r="G164" s="11" t="s">
        <v>36</v>
      </c>
      <c r="H164" s="9" t="s">
        <v>42</v>
      </c>
      <c r="I164" s="15">
        <v>1</v>
      </c>
      <c r="J164" s="17">
        <f>[1]Detail!M164+[1]Detail!N164</f>
        <v>243802</v>
      </c>
      <c r="K164" s="17">
        <f>J164*[1]Detail!I164</f>
        <v>243802</v>
      </c>
      <c r="L164" s="9"/>
    </row>
    <row r="165" ht="23" spans="1:12">
      <c r="A165" s="8" t="s">
        <v>683</v>
      </c>
      <c r="B165" s="9" t="s">
        <v>684</v>
      </c>
      <c r="C165" s="9" t="s">
        <v>685</v>
      </c>
      <c r="D165" s="9" t="s">
        <v>686</v>
      </c>
      <c r="E165" s="9" t="s">
        <v>85</v>
      </c>
      <c r="F165" s="11" t="s">
        <v>35</v>
      </c>
      <c r="G165" s="11" t="s">
        <v>36</v>
      </c>
      <c r="H165" s="9" t="s">
        <v>21</v>
      </c>
      <c r="I165" s="15">
        <v>1</v>
      </c>
      <c r="J165" s="17">
        <f>[1]Detail!M165+[1]Detail!N165</f>
        <v>425984</v>
      </c>
      <c r="K165" s="17">
        <f>J165*[1]Detail!I165</f>
        <v>425984</v>
      </c>
      <c r="L165" s="9"/>
    </row>
    <row r="166" ht="23" spans="1:12">
      <c r="A166" s="8" t="s">
        <v>687</v>
      </c>
      <c r="B166" s="9" t="s">
        <v>688</v>
      </c>
      <c r="C166" s="9" t="s">
        <v>689</v>
      </c>
      <c r="D166" s="9" t="s">
        <v>690</v>
      </c>
      <c r="E166" s="9" t="s">
        <v>76</v>
      </c>
      <c r="F166" s="11" t="s">
        <v>54</v>
      </c>
      <c r="G166" s="11" t="s">
        <v>36</v>
      </c>
      <c r="H166" s="9" t="s">
        <v>21</v>
      </c>
      <c r="I166" s="15">
        <v>1</v>
      </c>
      <c r="J166" s="17">
        <f>[1]Detail!M166+[1]Detail!N166</f>
        <v>381914</v>
      </c>
      <c r="K166" s="17">
        <f>J166*[1]Detail!I166</f>
        <v>381914</v>
      </c>
      <c r="L166" s="9"/>
    </row>
    <row r="167" ht="23" spans="1:12">
      <c r="A167" s="8" t="s">
        <v>691</v>
      </c>
      <c r="B167" s="9" t="s">
        <v>692</v>
      </c>
      <c r="C167" s="9" t="s">
        <v>693</v>
      </c>
      <c r="D167" s="9" t="s">
        <v>694</v>
      </c>
      <c r="E167" s="9" t="s">
        <v>76</v>
      </c>
      <c r="F167" s="11" t="s">
        <v>54</v>
      </c>
      <c r="G167" s="11" t="s">
        <v>20</v>
      </c>
      <c r="H167" s="9" t="s">
        <v>21</v>
      </c>
      <c r="I167" s="15">
        <v>1</v>
      </c>
      <c r="J167" s="17">
        <f>[1]Detail!M167+[1]Detail!N167</f>
        <v>602238</v>
      </c>
      <c r="K167" s="17">
        <f>J167*[1]Detail!I167</f>
        <v>602238</v>
      </c>
      <c r="L167" s="9"/>
    </row>
    <row r="168" ht="34.5" spans="1:12">
      <c r="A168" s="8" t="s">
        <v>695</v>
      </c>
      <c r="B168" s="9" t="s">
        <v>696</v>
      </c>
      <c r="C168" s="9" t="s">
        <v>697</v>
      </c>
      <c r="D168" s="9" t="s">
        <v>698</v>
      </c>
      <c r="E168" s="9" t="s">
        <v>699</v>
      </c>
      <c r="F168" s="11"/>
      <c r="G168" s="11" t="s">
        <v>20</v>
      </c>
      <c r="H168" s="9" t="s">
        <v>21</v>
      </c>
      <c r="I168" s="15">
        <v>1</v>
      </c>
      <c r="J168" s="17">
        <f>[1]Detail!M168+[1]Detail!N168</f>
        <v>489918</v>
      </c>
      <c r="K168" s="17">
        <f>J168*[1]Detail!I168</f>
        <v>489918</v>
      </c>
      <c r="L168" s="9"/>
    </row>
    <row r="169" ht="34.5" spans="1:12">
      <c r="A169" s="8" t="s">
        <v>700</v>
      </c>
      <c r="B169" s="9" t="s">
        <v>701</v>
      </c>
      <c r="C169" s="9" t="s">
        <v>702</v>
      </c>
      <c r="D169" s="9" t="s">
        <v>703</v>
      </c>
      <c r="E169" s="9" t="s">
        <v>704</v>
      </c>
      <c r="F169" s="11"/>
      <c r="G169" s="11" t="s">
        <v>36</v>
      </c>
      <c r="H169" s="9" t="s">
        <v>42</v>
      </c>
      <c r="I169" s="15">
        <v>1</v>
      </c>
      <c r="J169" s="17">
        <f>[1]Detail!M169+[1]Detail!N169</f>
        <v>193908</v>
      </c>
      <c r="K169" s="17">
        <f>J169*[1]Detail!I169</f>
        <v>193908</v>
      </c>
      <c r="L169" s="9"/>
    </row>
    <row r="170" ht="34.5" spans="1:12">
      <c r="A170" s="8" t="s">
        <v>705</v>
      </c>
      <c r="B170" s="9" t="s">
        <v>706</v>
      </c>
      <c r="C170" s="9" t="s">
        <v>707</v>
      </c>
      <c r="D170" s="9" t="s">
        <v>708</v>
      </c>
      <c r="E170" s="9" t="s">
        <v>499</v>
      </c>
      <c r="F170" s="11" t="s">
        <v>54</v>
      </c>
      <c r="G170" s="11" t="s">
        <v>20</v>
      </c>
      <c r="H170" s="9" t="s">
        <v>21</v>
      </c>
      <c r="I170" s="15">
        <v>1</v>
      </c>
      <c r="J170" s="17">
        <f>[1]Detail!M170+[1]Detail!N170</f>
        <v>612014</v>
      </c>
      <c r="K170" s="17">
        <f>J170*[1]Detail!I170</f>
        <v>612014</v>
      </c>
      <c r="L170" s="9"/>
    </row>
    <row r="171" spans="1:12">
      <c r="A171" s="8" t="s">
        <v>709</v>
      </c>
      <c r="B171" s="9" t="s">
        <v>710</v>
      </c>
      <c r="C171" s="9" t="s">
        <v>711</v>
      </c>
      <c r="D171" s="9" t="s">
        <v>712</v>
      </c>
      <c r="E171" s="9" t="s">
        <v>76</v>
      </c>
      <c r="F171" s="11" t="s">
        <v>54</v>
      </c>
      <c r="G171" s="11" t="s">
        <v>36</v>
      </c>
      <c r="H171" s="9" t="s">
        <v>21</v>
      </c>
      <c r="I171" s="15">
        <v>1</v>
      </c>
      <c r="J171" s="17">
        <f>[1]Detail!M171+[1]Detail!N171</f>
        <v>1013506</v>
      </c>
      <c r="K171" s="17">
        <f>J171*[1]Detail!I171</f>
        <v>1013506</v>
      </c>
      <c r="L171" s="9"/>
    </row>
    <row r="172" spans="1:12">
      <c r="A172" s="8" t="s">
        <v>713</v>
      </c>
      <c r="B172" s="9" t="s">
        <v>714</v>
      </c>
      <c r="C172" s="9" t="s">
        <v>715</v>
      </c>
      <c r="D172" s="9" t="s">
        <v>716</v>
      </c>
      <c r="E172" s="9" t="s">
        <v>47</v>
      </c>
      <c r="F172" s="11" t="s">
        <v>48</v>
      </c>
      <c r="G172" s="11" t="s">
        <v>36</v>
      </c>
      <c r="H172" s="9" t="s">
        <v>42</v>
      </c>
      <c r="I172" s="15">
        <v>1</v>
      </c>
      <c r="J172" s="17">
        <f>[1]Detail!M172+[1]Detail!N172</f>
        <v>196586</v>
      </c>
      <c r="K172" s="17">
        <f>J172*[1]Detail!I172</f>
        <v>196586</v>
      </c>
      <c r="L172" s="9"/>
    </row>
    <row r="173" ht="23" spans="1:12">
      <c r="A173" s="8" t="s">
        <v>717</v>
      </c>
      <c r="B173" s="9" t="s">
        <v>718</v>
      </c>
      <c r="C173" s="9" t="s">
        <v>719</v>
      </c>
      <c r="D173" s="9" t="s">
        <v>716</v>
      </c>
      <c r="E173" s="9" t="s">
        <v>76</v>
      </c>
      <c r="F173" s="11" t="s">
        <v>54</v>
      </c>
      <c r="G173" s="11" t="s">
        <v>20</v>
      </c>
      <c r="H173" s="9" t="s">
        <v>42</v>
      </c>
      <c r="I173" s="15">
        <v>1</v>
      </c>
      <c r="J173" s="17">
        <f>[1]Detail!M173+[1]Detail!N173</f>
        <v>152750</v>
      </c>
      <c r="K173" s="17">
        <f>J173*[1]Detail!I173</f>
        <v>152750</v>
      </c>
      <c r="L173" s="9"/>
    </row>
    <row r="174" ht="23" spans="1:12">
      <c r="A174" s="8" t="s">
        <v>720</v>
      </c>
      <c r="B174" s="9" t="s">
        <v>721</v>
      </c>
      <c r="C174" s="9" t="s">
        <v>722</v>
      </c>
      <c r="D174" s="9" t="s">
        <v>723</v>
      </c>
      <c r="E174" s="9" t="s">
        <v>356</v>
      </c>
      <c r="F174" s="11" t="s">
        <v>357</v>
      </c>
      <c r="G174" s="11" t="s">
        <v>20</v>
      </c>
      <c r="H174" s="9" t="s">
        <v>42</v>
      </c>
      <c r="I174" s="15">
        <v>1</v>
      </c>
      <c r="J174" s="17">
        <f>[1]Detail!M174+[1]Detail!N174</f>
        <v>484692</v>
      </c>
      <c r="K174" s="17">
        <f>J174*[1]Detail!I174</f>
        <v>484692</v>
      </c>
      <c r="L174" s="9"/>
    </row>
    <row r="175" ht="23" spans="1:12">
      <c r="A175" s="8" t="s">
        <v>724</v>
      </c>
      <c r="B175" s="9" t="s">
        <v>725</v>
      </c>
      <c r="C175" s="9" t="s">
        <v>726</v>
      </c>
      <c r="D175" s="9" t="s">
        <v>727</v>
      </c>
      <c r="E175" s="9" t="s">
        <v>85</v>
      </c>
      <c r="F175" s="11" t="s">
        <v>35</v>
      </c>
      <c r="G175" s="11" t="s">
        <v>20</v>
      </c>
      <c r="H175" s="9" t="s">
        <v>42</v>
      </c>
      <c r="I175" s="15">
        <v>1</v>
      </c>
      <c r="J175" s="17">
        <f>[1]Detail!M175+[1]Detail!N175</f>
        <v>293774</v>
      </c>
      <c r="K175" s="17">
        <f>J175*[1]Detail!I175</f>
        <v>293774</v>
      </c>
      <c r="L175" s="9"/>
    </row>
    <row r="176" ht="23" spans="1:12">
      <c r="A176" s="8" t="s">
        <v>728</v>
      </c>
      <c r="B176" s="9" t="s">
        <v>725</v>
      </c>
      <c r="C176" s="9" t="s">
        <v>726</v>
      </c>
      <c r="D176" s="9" t="s">
        <v>727</v>
      </c>
      <c r="E176" s="9" t="s">
        <v>85</v>
      </c>
      <c r="F176" s="11" t="s">
        <v>35</v>
      </c>
      <c r="G176" s="11" t="s">
        <v>20</v>
      </c>
      <c r="H176" s="9" t="s">
        <v>42</v>
      </c>
      <c r="I176" s="15">
        <v>1</v>
      </c>
      <c r="J176" s="17">
        <f>[1]Detail!M176+[1]Detail!N176</f>
        <v>293774</v>
      </c>
      <c r="K176" s="17">
        <f>J176*[1]Detail!I176</f>
        <v>293774</v>
      </c>
      <c r="L176" s="9"/>
    </row>
    <row r="177" ht="92" spans="1:12">
      <c r="A177" s="8" t="s">
        <v>729</v>
      </c>
      <c r="B177" s="9" t="s">
        <v>730</v>
      </c>
      <c r="C177" s="9" t="s">
        <v>641</v>
      </c>
      <c r="D177" s="9" t="s">
        <v>731</v>
      </c>
      <c r="E177" s="9" t="s">
        <v>76</v>
      </c>
      <c r="F177" s="11" t="s">
        <v>54</v>
      </c>
      <c r="G177" s="11" t="s">
        <v>36</v>
      </c>
      <c r="H177" s="9" t="s">
        <v>42</v>
      </c>
      <c r="I177" s="15">
        <v>1</v>
      </c>
      <c r="J177" s="17">
        <f>[1]Detail!M177+[1]Detail!N177</f>
        <v>143936</v>
      </c>
      <c r="K177" s="17">
        <f>J177*[1]Detail!I177</f>
        <v>143936</v>
      </c>
      <c r="L177" s="9"/>
    </row>
    <row r="178" ht="23" spans="1:12">
      <c r="A178" s="8" t="s">
        <v>732</v>
      </c>
      <c r="B178" s="9" t="s">
        <v>733</v>
      </c>
      <c r="C178" s="9" t="s">
        <v>734</v>
      </c>
      <c r="D178" s="9" t="s">
        <v>735</v>
      </c>
      <c r="E178" s="9" t="s">
        <v>267</v>
      </c>
      <c r="F178" s="11" t="s">
        <v>19</v>
      </c>
      <c r="G178" s="11" t="s">
        <v>20</v>
      </c>
      <c r="H178" s="9" t="s">
        <v>21</v>
      </c>
      <c r="I178" s="15">
        <v>1</v>
      </c>
      <c r="J178" s="17">
        <f>[1]Detail!M178+[1]Detail!N178</f>
        <v>314184</v>
      </c>
      <c r="K178" s="17">
        <f>J178*[1]Detail!I178</f>
        <v>314184</v>
      </c>
      <c r="L178" s="9"/>
    </row>
    <row r="179" spans="1:12">
      <c r="A179" s="8"/>
      <c r="B179" s="9"/>
      <c r="C179" s="9"/>
      <c r="D179" s="10" t="s">
        <v>736</v>
      </c>
      <c r="E179" s="9"/>
      <c r="F179" s="11"/>
      <c r="G179" s="11"/>
      <c r="H179" s="9"/>
      <c r="I179" s="15"/>
      <c r="J179" s="17"/>
      <c r="K179" s="17"/>
      <c r="L179" s="9"/>
    </row>
    <row r="180" ht="46" spans="1:12">
      <c r="A180" s="8"/>
      <c r="B180" s="9"/>
      <c r="C180" s="9"/>
      <c r="D180" s="10" t="s">
        <v>737</v>
      </c>
      <c r="E180" s="9"/>
      <c r="F180" s="11"/>
      <c r="G180" s="11"/>
      <c r="H180" s="9"/>
      <c r="I180" s="15"/>
      <c r="J180" s="17"/>
      <c r="K180" s="17"/>
      <c r="L180" s="9"/>
    </row>
    <row r="181" ht="23" spans="1:12">
      <c r="A181" s="8" t="s">
        <v>738</v>
      </c>
      <c r="B181" s="9" t="s">
        <v>221</v>
      </c>
      <c r="C181" s="9" t="s">
        <v>222</v>
      </c>
      <c r="D181" s="9" t="s">
        <v>223</v>
      </c>
      <c r="E181" s="9" t="s">
        <v>224</v>
      </c>
      <c r="F181" s="11" t="s">
        <v>19</v>
      </c>
      <c r="G181" s="11" t="s">
        <v>36</v>
      </c>
      <c r="H181" s="9" t="s">
        <v>42</v>
      </c>
      <c r="I181" s="15">
        <v>1</v>
      </c>
      <c r="J181" s="17">
        <f>[1]Detail!M181+[1]Detail!N181</f>
        <v>323128</v>
      </c>
      <c r="K181" s="17">
        <f>J181*[1]Detail!I181</f>
        <v>323128</v>
      </c>
      <c r="L181" s="9"/>
    </row>
    <row r="182" spans="1:12">
      <c r="A182" s="8" t="s">
        <v>739</v>
      </c>
      <c r="B182" s="9" t="s">
        <v>740</v>
      </c>
      <c r="C182" s="9" t="s">
        <v>741</v>
      </c>
      <c r="D182" s="9" t="s">
        <v>742</v>
      </c>
      <c r="E182" s="9" t="s">
        <v>76</v>
      </c>
      <c r="F182" s="11" t="s">
        <v>54</v>
      </c>
      <c r="G182" s="11" t="s">
        <v>41</v>
      </c>
      <c r="H182" s="9" t="s">
        <v>42</v>
      </c>
      <c r="I182" s="15">
        <v>1</v>
      </c>
      <c r="J182" s="17">
        <f>[1]Detail!M182+[1]Detail!N182</f>
        <v>308464</v>
      </c>
      <c r="K182" s="17">
        <f>J182*[1]Detail!I182</f>
        <v>308464</v>
      </c>
      <c r="L182" s="9"/>
    </row>
    <row r="183" ht="23" spans="1:12">
      <c r="A183" s="8" t="s">
        <v>743</v>
      </c>
      <c r="B183" s="9" t="s">
        <v>744</v>
      </c>
      <c r="C183" s="9" t="s">
        <v>745</v>
      </c>
      <c r="D183" s="9" t="s">
        <v>742</v>
      </c>
      <c r="E183" s="9" t="s">
        <v>258</v>
      </c>
      <c r="F183" s="11" t="s">
        <v>19</v>
      </c>
      <c r="G183" s="11" t="s">
        <v>41</v>
      </c>
      <c r="H183" s="9" t="s">
        <v>21</v>
      </c>
      <c r="I183" s="15">
        <v>1</v>
      </c>
      <c r="J183" s="17">
        <f>[1]Detail!M183+[1]Detail!N183</f>
        <v>690352</v>
      </c>
      <c r="K183" s="17">
        <f>J183*[1]Detail!I183</f>
        <v>690352</v>
      </c>
      <c r="L183" s="9"/>
    </row>
    <row r="184" ht="23" spans="1:12">
      <c r="A184" s="8" t="s">
        <v>746</v>
      </c>
      <c r="B184" s="9" t="s">
        <v>747</v>
      </c>
      <c r="C184" s="9" t="s">
        <v>748</v>
      </c>
      <c r="D184" s="9" t="s">
        <v>749</v>
      </c>
      <c r="E184" s="9" t="s">
        <v>267</v>
      </c>
      <c r="F184" s="11" t="s">
        <v>19</v>
      </c>
      <c r="G184" s="11" t="s">
        <v>36</v>
      </c>
      <c r="H184" s="9" t="s">
        <v>42</v>
      </c>
      <c r="I184" s="15">
        <v>1</v>
      </c>
      <c r="J184" s="17">
        <f>[1]Detail!M184+[1]Detail!N184</f>
        <v>164372</v>
      </c>
      <c r="K184" s="17">
        <f>J184*[1]Detail!I184</f>
        <v>164372</v>
      </c>
      <c r="L184" s="9"/>
    </row>
    <row r="185" ht="23" spans="1:12">
      <c r="A185" s="8" t="s">
        <v>750</v>
      </c>
      <c r="B185" s="9" t="s">
        <v>751</v>
      </c>
      <c r="C185" s="9" t="s">
        <v>752</v>
      </c>
      <c r="D185" s="9" t="s">
        <v>753</v>
      </c>
      <c r="E185" s="9" t="s">
        <v>754</v>
      </c>
      <c r="F185" s="11" t="s">
        <v>19</v>
      </c>
      <c r="G185" s="11" t="s">
        <v>20</v>
      </c>
      <c r="H185" s="9" t="s">
        <v>42</v>
      </c>
      <c r="I185" s="15">
        <v>1</v>
      </c>
      <c r="J185" s="17">
        <f>[1]Detail!M185+[1]Detail!N185</f>
        <v>250172</v>
      </c>
      <c r="K185" s="17">
        <f>J185*[1]Detail!I185</f>
        <v>250172</v>
      </c>
      <c r="L185" s="9"/>
    </row>
    <row r="186" spans="1:12">
      <c r="A186" s="8" t="s">
        <v>755</v>
      </c>
      <c r="B186" s="9" t="s">
        <v>756</v>
      </c>
      <c r="C186" s="9" t="s">
        <v>757</v>
      </c>
      <c r="D186" s="9" t="s">
        <v>758</v>
      </c>
      <c r="E186" s="9" t="s">
        <v>76</v>
      </c>
      <c r="F186" s="11" t="s">
        <v>54</v>
      </c>
      <c r="G186" s="11" t="s">
        <v>41</v>
      </c>
      <c r="H186" s="9" t="s">
        <v>42</v>
      </c>
      <c r="I186" s="15">
        <v>1</v>
      </c>
      <c r="J186" s="17">
        <f>[1]Detail!M186+[1]Detail!N186</f>
        <v>352534</v>
      </c>
      <c r="K186" s="17">
        <f>J186*[1]Detail!I186</f>
        <v>352534</v>
      </c>
      <c r="L186" s="9"/>
    </row>
    <row r="187" ht="23" spans="1:12">
      <c r="A187" s="8" t="s">
        <v>759</v>
      </c>
      <c r="B187" s="9" t="s">
        <v>760</v>
      </c>
      <c r="C187" s="9" t="s">
        <v>761</v>
      </c>
      <c r="D187" s="9" t="s">
        <v>762</v>
      </c>
      <c r="E187" s="9" t="s">
        <v>63</v>
      </c>
      <c r="F187" s="11" t="s">
        <v>19</v>
      </c>
      <c r="G187" s="11" t="s">
        <v>20</v>
      </c>
      <c r="H187" s="9" t="s">
        <v>42</v>
      </c>
      <c r="I187" s="15">
        <v>1</v>
      </c>
      <c r="J187" s="17">
        <f>[1]Detail!M187+[1]Detail!N187</f>
        <v>162292</v>
      </c>
      <c r="K187" s="17">
        <f>J187*[1]Detail!I187</f>
        <v>162292</v>
      </c>
      <c r="L187" s="9"/>
    </row>
    <row r="188" spans="1:12">
      <c r="A188" s="8" t="s">
        <v>763</v>
      </c>
      <c r="B188" s="9" t="s">
        <v>764</v>
      </c>
      <c r="C188" s="9" t="s">
        <v>765</v>
      </c>
      <c r="D188" s="9" t="s">
        <v>766</v>
      </c>
      <c r="E188" s="9" t="s">
        <v>47</v>
      </c>
      <c r="F188" s="11" t="s">
        <v>48</v>
      </c>
      <c r="G188" s="11" t="s">
        <v>36</v>
      </c>
      <c r="H188" s="9" t="s">
        <v>42</v>
      </c>
      <c r="I188" s="15">
        <v>1</v>
      </c>
      <c r="J188" s="17">
        <f>[1]Detail!M188+[1]Detail!N188</f>
        <v>262574</v>
      </c>
      <c r="K188" s="17">
        <f>J188*[1]Detail!I188</f>
        <v>262574</v>
      </c>
      <c r="L188" s="9"/>
    </row>
    <row r="189" ht="23" spans="1:12">
      <c r="A189" s="8" t="s">
        <v>767</v>
      </c>
      <c r="B189" s="9" t="s">
        <v>768</v>
      </c>
      <c r="C189" s="9" t="s">
        <v>769</v>
      </c>
      <c r="D189" s="9" t="s">
        <v>770</v>
      </c>
      <c r="E189" s="9" t="s">
        <v>204</v>
      </c>
      <c r="F189" s="11" t="s">
        <v>54</v>
      </c>
      <c r="G189" s="11" t="s">
        <v>20</v>
      </c>
      <c r="H189" s="9" t="s">
        <v>42</v>
      </c>
      <c r="I189" s="15">
        <v>1</v>
      </c>
      <c r="J189" s="17">
        <f>[1]Detail!M189+[1]Detail!N189</f>
        <v>134628</v>
      </c>
      <c r="K189" s="17">
        <f>J189*[1]Detail!I189</f>
        <v>134628</v>
      </c>
      <c r="L189" s="9"/>
    </row>
    <row r="190" ht="23" spans="1:12">
      <c r="A190" s="8" t="s">
        <v>771</v>
      </c>
      <c r="B190" s="9" t="s">
        <v>772</v>
      </c>
      <c r="C190" s="9" t="s">
        <v>773</v>
      </c>
      <c r="D190" s="9" t="s">
        <v>774</v>
      </c>
      <c r="E190" s="9" t="s">
        <v>267</v>
      </c>
      <c r="F190" s="11" t="s">
        <v>19</v>
      </c>
      <c r="G190" s="11" t="s">
        <v>36</v>
      </c>
      <c r="H190" s="9" t="s">
        <v>21</v>
      </c>
      <c r="I190" s="15">
        <v>1</v>
      </c>
      <c r="J190" s="17">
        <f>[1]Detail!M190+[1]Detail!N190</f>
        <v>499408</v>
      </c>
      <c r="K190" s="17">
        <f>J190*[1]Detail!I190</f>
        <v>499408</v>
      </c>
      <c r="L190" s="9"/>
    </row>
    <row r="191" ht="23" spans="1:12">
      <c r="A191" s="8" t="s">
        <v>775</v>
      </c>
      <c r="B191" s="9" t="s">
        <v>776</v>
      </c>
      <c r="C191" s="9" t="s">
        <v>777</v>
      </c>
      <c r="D191" s="9" t="s">
        <v>778</v>
      </c>
      <c r="E191" s="9" t="s">
        <v>267</v>
      </c>
      <c r="F191" s="11" t="s">
        <v>19</v>
      </c>
      <c r="G191" s="11" t="s">
        <v>36</v>
      </c>
      <c r="H191" s="9" t="s">
        <v>42</v>
      </c>
      <c r="I191" s="15">
        <v>1</v>
      </c>
      <c r="J191" s="17">
        <f>[1]Detail!M191+[1]Detail!N191</f>
        <v>179192</v>
      </c>
      <c r="K191" s="17">
        <f>J191*[1]Detail!I191</f>
        <v>179192</v>
      </c>
      <c r="L191" s="9"/>
    </row>
    <row r="192" ht="34.5" spans="1:12">
      <c r="A192" s="8" t="s">
        <v>779</v>
      </c>
      <c r="B192" s="9" t="s">
        <v>780</v>
      </c>
      <c r="C192" s="9" t="s">
        <v>781</v>
      </c>
      <c r="D192" s="9" t="s">
        <v>782</v>
      </c>
      <c r="E192" s="9" t="s">
        <v>76</v>
      </c>
      <c r="F192" s="11" t="s">
        <v>54</v>
      </c>
      <c r="G192" s="11" t="s">
        <v>20</v>
      </c>
      <c r="H192" s="9" t="s">
        <v>21</v>
      </c>
      <c r="I192" s="15">
        <v>1</v>
      </c>
      <c r="J192" s="17">
        <f>[1]Detail!M192+[1]Detail!N192</f>
        <v>381914</v>
      </c>
      <c r="K192" s="17">
        <f>J192*[1]Detail!I192</f>
        <v>381914</v>
      </c>
      <c r="L192" s="9"/>
    </row>
    <row r="193" ht="46" spans="1:12">
      <c r="A193" s="8" t="s">
        <v>783</v>
      </c>
      <c r="B193" s="9" t="s">
        <v>784</v>
      </c>
      <c r="C193" s="9" t="s">
        <v>785</v>
      </c>
      <c r="D193" s="9" t="s">
        <v>786</v>
      </c>
      <c r="E193" s="9" t="s">
        <v>267</v>
      </c>
      <c r="F193" s="11" t="s">
        <v>19</v>
      </c>
      <c r="G193" s="11" t="s">
        <v>20</v>
      </c>
      <c r="H193" s="9" t="s">
        <v>42</v>
      </c>
      <c r="I193" s="15">
        <v>1</v>
      </c>
      <c r="J193" s="17">
        <f>[1]Detail!M193+[1]Detail!N193</f>
        <v>193882</v>
      </c>
      <c r="K193" s="17">
        <f>J193*[1]Detail!I193</f>
        <v>193882</v>
      </c>
      <c r="L193" s="9"/>
    </row>
    <row r="194" ht="34.5" spans="1:12">
      <c r="A194" s="8" t="s">
        <v>787</v>
      </c>
      <c r="B194" s="9" t="s">
        <v>788</v>
      </c>
      <c r="C194" s="9" t="s">
        <v>789</v>
      </c>
      <c r="D194" s="9" t="s">
        <v>790</v>
      </c>
      <c r="E194" s="9" t="s">
        <v>124</v>
      </c>
      <c r="F194" s="11" t="s">
        <v>19</v>
      </c>
      <c r="G194" s="11" t="s">
        <v>20</v>
      </c>
      <c r="H194" s="9" t="s">
        <v>42</v>
      </c>
      <c r="I194" s="15">
        <v>1</v>
      </c>
      <c r="J194" s="17">
        <f>[1]Detail!M194+[1]Detail!N194</f>
        <v>141830</v>
      </c>
      <c r="K194" s="17">
        <f>J194*[1]Detail!I194</f>
        <v>141830</v>
      </c>
      <c r="L194" s="9"/>
    </row>
    <row r="195" ht="23" spans="1:12">
      <c r="A195" s="8" t="s">
        <v>791</v>
      </c>
      <c r="B195" s="9" t="s">
        <v>792</v>
      </c>
      <c r="C195" s="9" t="s">
        <v>793</v>
      </c>
      <c r="D195" s="9" t="s">
        <v>794</v>
      </c>
      <c r="E195" s="9" t="s">
        <v>26</v>
      </c>
      <c r="F195" s="11" t="s">
        <v>19</v>
      </c>
      <c r="G195" s="11" t="s">
        <v>36</v>
      </c>
      <c r="H195" s="9" t="s">
        <v>21</v>
      </c>
      <c r="I195" s="15">
        <v>1</v>
      </c>
      <c r="J195" s="17">
        <f>[1]Detail!M195+[1]Detail!N195</f>
        <v>291330</v>
      </c>
      <c r="K195" s="17">
        <f>J195*[1]Detail!I195</f>
        <v>291330</v>
      </c>
      <c r="L195" s="9"/>
    </row>
    <row r="196" ht="23" spans="1:12">
      <c r="A196" s="8" t="s">
        <v>795</v>
      </c>
      <c r="B196" s="9" t="s">
        <v>796</v>
      </c>
      <c r="C196" s="9" t="s">
        <v>797</v>
      </c>
      <c r="D196" s="9" t="s">
        <v>798</v>
      </c>
      <c r="E196" s="9" t="s">
        <v>124</v>
      </c>
      <c r="F196" s="11" t="s">
        <v>19</v>
      </c>
      <c r="G196" s="11" t="s">
        <v>41</v>
      </c>
      <c r="H196" s="9" t="s">
        <v>42</v>
      </c>
      <c r="I196" s="15">
        <v>1</v>
      </c>
      <c r="J196" s="17">
        <f>[1]Detail!M196+[1]Detail!N196</f>
        <v>141830</v>
      </c>
      <c r="K196" s="17">
        <f>J196*[1]Detail!I196</f>
        <v>141830</v>
      </c>
      <c r="L196" s="9"/>
    </row>
    <row r="197" spans="1:12">
      <c r="A197" s="8" t="s">
        <v>799</v>
      </c>
      <c r="B197" s="9" t="s">
        <v>800</v>
      </c>
      <c r="C197" s="9" t="s">
        <v>801</v>
      </c>
      <c r="D197" s="9" t="s">
        <v>802</v>
      </c>
      <c r="E197" s="9" t="s">
        <v>76</v>
      </c>
      <c r="F197" s="11" t="s">
        <v>54</v>
      </c>
      <c r="G197" s="11" t="s">
        <v>36</v>
      </c>
      <c r="H197" s="9" t="s">
        <v>42</v>
      </c>
      <c r="I197" s="15">
        <v>1</v>
      </c>
      <c r="J197" s="17">
        <f>[1]Detail!M197+[1]Detail!N197</f>
        <v>143936</v>
      </c>
      <c r="K197" s="17">
        <f>J197*[1]Detail!I197</f>
        <v>143936</v>
      </c>
      <c r="L197" s="9"/>
    </row>
    <row r="198" ht="23" spans="1:12">
      <c r="A198" s="8" t="s">
        <v>803</v>
      </c>
      <c r="B198" s="9" t="s">
        <v>804</v>
      </c>
      <c r="C198" s="9" t="s">
        <v>805</v>
      </c>
      <c r="D198" s="9" t="s">
        <v>806</v>
      </c>
      <c r="E198" s="9" t="s">
        <v>356</v>
      </c>
      <c r="F198" s="11" t="s">
        <v>357</v>
      </c>
      <c r="G198" s="11" t="s">
        <v>20</v>
      </c>
      <c r="H198" s="9" t="s">
        <v>42</v>
      </c>
      <c r="I198" s="15">
        <v>1</v>
      </c>
      <c r="J198" s="17">
        <f>[1]Detail!M198+[1]Detail!N198</f>
        <v>323128</v>
      </c>
      <c r="K198" s="17">
        <f>J198*[1]Detail!I198</f>
        <v>323128</v>
      </c>
      <c r="L198" s="9"/>
    </row>
    <row r="199" ht="34.5" spans="1:12">
      <c r="A199" s="8" t="s">
        <v>807</v>
      </c>
      <c r="B199" s="9" t="s">
        <v>808</v>
      </c>
      <c r="C199" s="9" t="s">
        <v>809</v>
      </c>
      <c r="D199" s="9" t="s">
        <v>810</v>
      </c>
      <c r="E199" s="9" t="s">
        <v>267</v>
      </c>
      <c r="F199" s="11" t="s">
        <v>19</v>
      </c>
      <c r="G199" s="11" t="s">
        <v>36</v>
      </c>
      <c r="H199" s="9" t="s">
        <v>42</v>
      </c>
      <c r="I199" s="15">
        <v>1</v>
      </c>
      <c r="J199" s="17">
        <f>[1]Detail!M199+[1]Detail!N199</f>
        <v>233558</v>
      </c>
      <c r="K199" s="17">
        <f>J199*[1]Detail!I199</f>
        <v>233558</v>
      </c>
      <c r="L199" s="9"/>
    </row>
    <row r="200" ht="34.5" spans="1:12">
      <c r="A200" s="8" t="s">
        <v>811</v>
      </c>
      <c r="B200" s="9" t="s">
        <v>812</v>
      </c>
      <c r="C200" s="9" t="s">
        <v>813</v>
      </c>
      <c r="D200" s="9" t="s">
        <v>814</v>
      </c>
      <c r="E200" s="9" t="s">
        <v>754</v>
      </c>
      <c r="F200" s="11" t="s">
        <v>19</v>
      </c>
      <c r="G200" s="11" t="s">
        <v>20</v>
      </c>
      <c r="H200" s="9" t="s">
        <v>42</v>
      </c>
      <c r="I200" s="15">
        <v>1</v>
      </c>
      <c r="J200" s="17">
        <f>[1]Detail!M200+[1]Detail!N200</f>
        <v>284440</v>
      </c>
      <c r="K200" s="17">
        <f>J200*[1]Detail!I200</f>
        <v>284440</v>
      </c>
      <c r="L200" s="9"/>
    </row>
    <row r="201" ht="46" spans="1:12">
      <c r="A201" s="8" t="s">
        <v>815</v>
      </c>
      <c r="B201" s="9" t="s">
        <v>816</v>
      </c>
      <c r="C201" s="9" t="s">
        <v>817</v>
      </c>
      <c r="D201" s="9" t="s">
        <v>818</v>
      </c>
      <c r="E201" s="9" t="s">
        <v>63</v>
      </c>
      <c r="F201" s="11" t="s">
        <v>19</v>
      </c>
      <c r="G201" s="11" t="s">
        <v>20</v>
      </c>
      <c r="H201" s="9" t="s">
        <v>42</v>
      </c>
      <c r="I201" s="15">
        <v>1</v>
      </c>
      <c r="J201" s="17">
        <f>[1]Detail!M201+[1]Detail!N201</f>
        <v>146380</v>
      </c>
      <c r="K201" s="17">
        <f>J201*[1]Detail!I201</f>
        <v>146380</v>
      </c>
      <c r="L201" s="9"/>
    </row>
    <row r="202" ht="23" spans="1:12">
      <c r="A202" s="8" t="s">
        <v>819</v>
      </c>
      <c r="B202" s="9" t="s">
        <v>820</v>
      </c>
      <c r="C202" s="9" t="s">
        <v>821</v>
      </c>
      <c r="D202" s="9" t="s">
        <v>822</v>
      </c>
      <c r="E202" s="9" t="s">
        <v>76</v>
      </c>
      <c r="F202" s="11" t="s">
        <v>54</v>
      </c>
      <c r="G202" s="11" t="s">
        <v>36</v>
      </c>
      <c r="H202" s="9" t="s">
        <v>512</v>
      </c>
      <c r="I202" s="18">
        <v>1</v>
      </c>
      <c r="J202" s="17">
        <f>[1]Detail!M202+[1]Detail!N202</f>
        <v>217360</v>
      </c>
      <c r="K202" s="17">
        <f>J202*[1]Detail!I202</f>
        <v>217360</v>
      </c>
      <c r="L202" s="9"/>
    </row>
    <row r="203" spans="1:12">
      <c r="A203" s="8" t="s">
        <v>823</v>
      </c>
      <c r="B203" s="9" t="s">
        <v>824</v>
      </c>
      <c r="C203" s="9" t="s">
        <v>825</v>
      </c>
      <c r="D203" s="9" t="s">
        <v>826</v>
      </c>
      <c r="E203" s="9" t="s">
        <v>827</v>
      </c>
      <c r="F203" s="11" t="s">
        <v>54</v>
      </c>
      <c r="G203" s="11" t="s">
        <v>36</v>
      </c>
      <c r="H203" s="9" t="s">
        <v>21</v>
      </c>
      <c r="I203" s="15">
        <v>1</v>
      </c>
      <c r="J203" s="17">
        <f>[1]Detail!M203+[1]Detail!N203</f>
        <v>320450</v>
      </c>
      <c r="K203" s="17">
        <f>J203*[1]Detail!I203</f>
        <v>320450</v>
      </c>
      <c r="L203" s="9"/>
    </row>
    <row r="204" ht="46" spans="1:12">
      <c r="A204" s="8" t="s">
        <v>828</v>
      </c>
      <c r="B204" s="9" t="s">
        <v>829</v>
      </c>
      <c r="C204" s="9" t="s">
        <v>830</v>
      </c>
      <c r="D204" s="9" t="s">
        <v>831</v>
      </c>
      <c r="E204" s="9" t="s">
        <v>356</v>
      </c>
      <c r="F204" s="11" t="s">
        <v>357</v>
      </c>
      <c r="G204" s="11" t="s">
        <v>36</v>
      </c>
      <c r="H204" s="9" t="s">
        <v>42</v>
      </c>
      <c r="I204" s="15">
        <v>1</v>
      </c>
      <c r="J204" s="17">
        <f>[1]Detail!M204+[1]Detail!N204</f>
        <v>296192</v>
      </c>
      <c r="K204" s="17">
        <f>J204*[1]Detail!I204</f>
        <v>296192</v>
      </c>
      <c r="L204" s="9"/>
    </row>
    <row r="205" spans="1:12">
      <c r="A205" s="8" t="s">
        <v>832</v>
      </c>
      <c r="B205" s="9" t="s">
        <v>833</v>
      </c>
      <c r="C205" s="9" t="s">
        <v>834</v>
      </c>
      <c r="D205" s="9" t="s">
        <v>835</v>
      </c>
      <c r="E205" s="9" t="s">
        <v>76</v>
      </c>
      <c r="F205" s="11" t="s">
        <v>54</v>
      </c>
      <c r="G205" s="11" t="s">
        <v>36</v>
      </c>
      <c r="H205" s="9" t="s">
        <v>21</v>
      </c>
      <c r="I205" s="15">
        <v>1</v>
      </c>
      <c r="J205" s="17">
        <f>[1]Detail!M205+[1]Detail!N205</f>
        <v>455338</v>
      </c>
      <c r="K205" s="17">
        <f>J205*[1]Detail!I205</f>
        <v>455338</v>
      </c>
      <c r="L205" s="9"/>
    </row>
    <row r="206" spans="1:12">
      <c r="A206" s="8"/>
      <c r="B206" s="9"/>
      <c r="C206" s="9"/>
      <c r="D206" s="10" t="s">
        <v>836</v>
      </c>
      <c r="E206" s="9"/>
      <c r="F206" s="11"/>
      <c r="G206" s="11"/>
      <c r="H206" s="9"/>
      <c r="I206" s="15"/>
      <c r="J206" s="17"/>
      <c r="K206" s="17"/>
      <c r="L206" s="9"/>
    </row>
    <row r="207" ht="34.5" spans="1:12">
      <c r="A207" s="8"/>
      <c r="B207" s="9"/>
      <c r="C207" s="9"/>
      <c r="D207" s="10" t="s">
        <v>837</v>
      </c>
      <c r="E207" s="9"/>
      <c r="F207" s="11"/>
      <c r="G207" s="11"/>
      <c r="H207" s="9"/>
      <c r="I207" s="15"/>
      <c r="J207" s="17"/>
      <c r="K207" s="17"/>
      <c r="L207" s="9"/>
    </row>
    <row r="208" ht="23" spans="1:12">
      <c r="A208" s="8" t="s">
        <v>838</v>
      </c>
      <c r="B208" s="9" t="s">
        <v>839</v>
      </c>
      <c r="C208" s="9" t="s">
        <v>840</v>
      </c>
      <c r="D208" s="9" t="s">
        <v>841</v>
      </c>
      <c r="E208" s="9" t="s">
        <v>34</v>
      </c>
      <c r="F208" s="11" t="s">
        <v>35</v>
      </c>
      <c r="G208" s="11" t="s">
        <v>20</v>
      </c>
      <c r="H208" s="9" t="s">
        <v>21</v>
      </c>
      <c r="I208" s="15">
        <v>1</v>
      </c>
      <c r="J208" s="17">
        <f>[1]Detail!M208+[1]Detail!N208</f>
        <v>616928</v>
      </c>
      <c r="K208" s="17">
        <f>J208*[1]Detail!I208</f>
        <v>616928</v>
      </c>
      <c r="L208" s="9"/>
    </row>
    <row r="209" ht="23" spans="1:12">
      <c r="A209" s="8" t="s">
        <v>842</v>
      </c>
      <c r="B209" s="9" t="s">
        <v>843</v>
      </c>
      <c r="C209" s="9" t="s">
        <v>844</v>
      </c>
      <c r="D209" s="9" t="s">
        <v>845</v>
      </c>
      <c r="E209" s="9" t="s">
        <v>827</v>
      </c>
      <c r="F209" s="11" t="s">
        <v>54</v>
      </c>
      <c r="G209" s="11" t="s">
        <v>36</v>
      </c>
      <c r="H209" s="9" t="s">
        <v>21</v>
      </c>
      <c r="I209" s="15">
        <v>1</v>
      </c>
      <c r="J209" s="17">
        <f>[1]Detail!M209+[1]Detail!N209</f>
        <v>320450</v>
      </c>
      <c r="K209" s="17">
        <f>J209*[1]Detail!I209</f>
        <v>320450</v>
      </c>
      <c r="L209" s="9"/>
    </row>
    <row r="210" spans="1:12">
      <c r="A210" s="8" t="s">
        <v>846</v>
      </c>
      <c r="B210" s="9" t="s">
        <v>847</v>
      </c>
      <c r="C210" s="9" t="s">
        <v>848</v>
      </c>
      <c r="D210" s="9" t="s">
        <v>849</v>
      </c>
      <c r="E210" s="9" t="s">
        <v>638</v>
      </c>
      <c r="F210" s="11" t="s">
        <v>19</v>
      </c>
      <c r="G210" s="11" t="s">
        <v>20</v>
      </c>
      <c r="H210" s="9" t="s">
        <v>21</v>
      </c>
      <c r="I210" s="15">
        <v>1</v>
      </c>
      <c r="J210" s="17">
        <f>[1]Detail!M210+[1]Detail!N210</f>
        <v>693290</v>
      </c>
      <c r="K210" s="17">
        <f>J210*[1]Detail!I210</f>
        <v>693290</v>
      </c>
      <c r="L210" s="9"/>
    </row>
    <row r="211" ht="23" spans="1:12">
      <c r="A211" s="8" t="s">
        <v>850</v>
      </c>
      <c r="B211" s="9" t="s">
        <v>851</v>
      </c>
      <c r="C211" s="9" t="s">
        <v>852</v>
      </c>
      <c r="D211" s="9" t="s">
        <v>853</v>
      </c>
      <c r="E211" s="9" t="s">
        <v>267</v>
      </c>
      <c r="F211" s="11" t="s">
        <v>19</v>
      </c>
      <c r="G211" s="11" t="s">
        <v>36</v>
      </c>
      <c r="H211" s="9" t="s">
        <v>21</v>
      </c>
      <c r="I211" s="15">
        <v>1</v>
      </c>
      <c r="J211" s="17">
        <f>[1]Detail!M211+[1]Detail!N211</f>
        <v>458276</v>
      </c>
      <c r="K211" s="17">
        <f>J211*[1]Detail!I211</f>
        <v>458276</v>
      </c>
      <c r="L211" s="9"/>
    </row>
    <row r="212" ht="34.5" spans="1:12">
      <c r="A212" s="8" t="s">
        <v>854</v>
      </c>
      <c r="B212" s="9" t="s">
        <v>855</v>
      </c>
      <c r="C212" s="9" t="s">
        <v>856</v>
      </c>
      <c r="D212" s="9" t="s">
        <v>857</v>
      </c>
      <c r="E212" s="9" t="s">
        <v>179</v>
      </c>
      <c r="F212" s="11" t="s">
        <v>162</v>
      </c>
      <c r="G212" s="11" t="s">
        <v>36</v>
      </c>
      <c r="H212" s="9" t="s">
        <v>42</v>
      </c>
      <c r="I212" s="15">
        <v>1</v>
      </c>
      <c r="J212" s="17">
        <f>[1]Detail!M212+[1]Detail!N212</f>
        <v>188474</v>
      </c>
      <c r="K212" s="17">
        <f>J212*[1]Detail!I212</f>
        <v>188474</v>
      </c>
      <c r="L212" s="9"/>
    </row>
    <row r="213" ht="34.5" spans="1:12">
      <c r="A213" s="8" t="s">
        <v>858</v>
      </c>
      <c r="B213" s="9" t="s">
        <v>859</v>
      </c>
      <c r="C213" s="9" t="s">
        <v>860</v>
      </c>
      <c r="D213" s="9" t="s">
        <v>861</v>
      </c>
      <c r="E213" s="9" t="s">
        <v>76</v>
      </c>
      <c r="F213" s="11" t="s">
        <v>54</v>
      </c>
      <c r="G213" s="11" t="s">
        <v>20</v>
      </c>
      <c r="H213" s="9" t="s">
        <v>21</v>
      </c>
      <c r="I213" s="15">
        <v>1</v>
      </c>
      <c r="J213" s="17">
        <f>[1]Detail!M213+[1]Detail!N213</f>
        <v>308464</v>
      </c>
      <c r="K213" s="17">
        <f>J213*[1]Detail!I213</f>
        <v>308464</v>
      </c>
      <c r="L213" s="9"/>
    </row>
    <row r="214" ht="34.5" spans="1:12">
      <c r="A214" s="8" t="s">
        <v>862</v>
      </c>
      <c r="B214" s="9" t="s">
        <v>863</v>
      </c>
      <c r="C214" s="9" t="s">
        <v>864</v>
      </c>
      <c r="D214" s="9" t="s">
        <v>865</v>
      </c>
      <c r="E214" s="9" t="s">
        <v>184</v>
      </c>
      <c r="F214" s="11" t="s">
        <v>54</v>
      </c>
      <c r="G214" s="11" t="s">
        <v>20</v>
      </c>
      <c r="H214" s="9" t="s">
        <v>42</v>
      </c>
      <c r="I214" s="15">
        <v>1</v>
      </c>
      <c r="J214" s="17">
        <f>[1]Detail!M214+[1]Detail!N214</f>
        <v>139048</v>
      </c>
      <c r="K214" s="17">
        <f>J214*[1]Detail!I214</f>
        <v>139048</v>
      </c>
      <c r="L214" s="9"/>
    </row>
    <row r="215" ht="34.5" spans="1:12">
      <c r="A215" s="8" t="s">
        <v>866</v>
      </c>
      <c r="B215" s="9" t="s">
        <v>867</v>
      </c>
      <c r="C215" s="9" t="s">
        <v>868</v>
      </c>
      <c r="D215" s="9" t="s">
        <v>869</v>
      </c>
      <c r="E215" s="9" t="s">
        <v>195</v>
      </c>
      <c r="F215" s="11" t="s">
        <v>19</v>
      </c>
      <c r="G215" s="11" t="s">
        <v>20</v>
      </c>
      <c r="H215" s="9" t="s">
        <v>512</v>
      </c>
      <c r="I215" s="18">
        <v>1</v>
      </c>
      <c r="J215" s="17">
        <f>[1]Detail!M215+[1]Detail!N215</f>
        <v>5062590</v>
      </c>
      <c r="K215" s="17">
        <f>J215*[1]Detail!I215</f>
        <v>5062590</v>
      </c>
      <c r="L215" s="9"/>
    </row>
    <row r="216" ht="23" spans="1:12">
      <c r="A216" s="8" t="s">
        <v>870</v>
      </c>
      <c r="B216" s="9" t="s">
        <v>871</v>
      </c>
      <c r="C216" s="9" t="s">
        <v>872</v>
      </c>
      <c r="D216" s="9" t="s">
        <v>873</v>
      </c>
      <c r="E216" s="9" t="s">
        <v>244</v>
      </c>
      <c r="F216" s="11" t="s">
        <v>162</v>
      </c>
      <c r="G216" s="11" t="s">
        <v>20</v>
      </c>
      <c r="H216" s="9" t="s">
        <v>21</v>
      </c>
      <c r="I216" s="15">
        <v>1</v>
      </c>
      <c r="J216" s="17">
        <f>[1]Detail!M216+[1]Detail!N216</f>
        <v>201942</v>
      </c>
      <c r="K216" s="17">
        <f>J216*[1]Detail!I216</f>
        <v>201942</v>
      </c>
      <c r="L216" s="9"/>
    </row>
    <row r="217" spans="1:12">
      <c r="A217" s="8" t="s">
        <v>874</v>
      </c>
      <c r="B217" s="9" t="s">
        <v>875</v>
      </c>
      <c r="C217" s="9" t="s">
        <v>876</v>
      </c>
      <c r="D217" s="9" t="s">
        <v>877</v>
      </c>
      <c r="E217" s="9" t="s">
        <v>76</v>
      </c>
      <c r="F217" s="11" t="s">
        <v>54</v>
      </c>
      <c r="G217" s="11" t="s">
        <v>36</v>
      </c>
      <c r="H217" s="9" t="s">
        <v>42</v>
      </c>
      <c r="I217" s="15">
        <v>1</v>
      </c>
      <c r="J217" s="17">
        <f>[1]Detail!M217+[1]Detail!N217</f>
        <v>116870</v>
      </c>
      <c r="K217" s="17">
        <f>J217*[1]Detail!I217</f>
        <v>116870</v>
      </c>
      <c r="L217" s="9"/>
    </row>
    <row r="218" ht="69" spans="1:12">
      <c r="A218" s="8" t="s">
        <v>878</v>
      </c>
      <c r="B218" s="9" t="s">
        <v>879</v>
      </c>
      <c r="C218" s="9" t="s">
        <v>880</v>
      </c>
      <c r="D218" s="9" t="s">
        <v>881</v>
      </c>
      <c r="E218" s="9" t="s">
        <v>47</v>
      </c>
      <c r="F218" s="11" t="s">
        <v>48</v>
      </c>
      <c r="G218" s="11" t="s">
        <v>36</v>
      </c>
      <c r="H218" s="9" t="s">
        <v>42</v>
      </c>
      <c r="I218" s="15">
        <v>1</v>
      </c>
      <c r="J218" s="17">
        <f>[1]Detail!M218+[1]Detail!N218</f>
        <v>185822</v>
      </c>
      <c r="K218" s="17">
        <f>J218*[1]Detail!I218</f>
        <v>185822</v>
      </c>
      <c r="L218" s="9"/>
    </row>
    <row r="219" ht="34.5" spans="1:12">
      <c r="A219" s="8" t="s">
        <v>882</v>
      </c>
      <c r="B219" s="9" t="s">
        <v>883</v>
      </c>
      <c r="C219" s="9" t="s">
        <v>884</v>
      </c>
      <c r="D219" s="9" t="s">
        <v>885</v>
      </c>
      <c r="E219" s="9" t="s">
        <v>258</v>
      </c>
      <c r="F219" s="11" t="s">
        <v>19</v>
      </c>
      <c r="G219" s="11" t="s">
        <v>36</v>
      </c>
      <c r="H219" s="9" t="s">
        <v>21</v>
      </c>
      <c r="I219" s="15">
        <v>1</v>
      </c>
      <c r="J219" s="17">
        <f>[1]Detail!M219+[1]Detail!N219</f>
        <v>248222</v>
      </c>
      <c r="K219" s="17">
        <f>J219*[1]Detail!I219</f>
        <v>248222</v>
      </c>
      <c r="L219" s="9"/>
    </row>
    <row r="220" ht="23" spans="1:12">
      <c r="A220" s="8" t="s">
        <v>886</v>
      </c>
      <c r="B220" s="9" t="s">
        <v>887</v>
      </c>
      <c r="C220" s="9" t="s">
        <v>888</v>
      </c>
      <c r="D220" s="9" t="s">
        <v>889</v>
      </c>
      <c r="E220" s="9" t="s">
        <v>76</v>
      </c>
      <c r="F220" s="11" t="s">
        <v>54</v>
      </c>
      <c r="G220" s="11" t="s">
        <v>20</v>
      </c>
      <c r="H220" s="9" t="s">
        <v>42</v>
      </c>
      <c r="I220" s="15">
        <v>1</v>
      </c>
      <c r="J220" s="17">
        <f>[1]Detail!M220+[1]Detail!N220</f>
        <v>211484</v>
      </c>
      <c r="K220" s="17">
        <f>J220*[1]Detail!I220</f>
        <v>211484</v>
      </c>
      <c r="L220" s="9"/>
    </row>
    <row r="221" ht="34.5" spans="1:12">
      <c r="A221" s="8" t="s">
        <v>890</v>
      </c>
      <c r="B221" s="9" t="s">
        <v>891</v>
      </c>
      <c r="C221" s="9" t="s">
        <v>892</v>
      </c>
      <c r="D221" s="9" t="s">
        <v>893</v>
      </c>
      <c r="E221" s="9" t="s">
        <v>195</v>
      </c>
      <c r="F221" s="11" t="s">
        <v>19</v>
      </c>
      <c r="G221" s="11" t="s">
        <v>36</v>
      </c>
      <c r="H221" s="9" t="s">
        <v>42</v>
      </c>
      <c r="I221" s="15">
        <v>1</v>
      </c>
      <c r="J221" s="17">
        <f>[1]Detail!M221+[1]Detail!N221</f>
        <v>417404</v>
      </c>
      <c r="K221" s="17">
        <f>J221*[1]Detail!I221</f>
        <v>417404</v>
      </c>
      <c r="L221" s="9"/>
    </row>
    <row r="222" ht="34.5" spans="1:12">
      <c r="A222" s="8" t="s">
        <v>894</v>
      </c>
      <c r="B222" s="9" t="s">
        <v>891</v>
      </c>
      <c r="C222" s="9" t="s">
        <v>892</v>
      </c>
      <c r="D222" s="9" t="s">
        <v>893</v>
      </c>
      <c r="E222" s="9" t="s">
        <v>195</v>
      </c>
      <c r="F222" s="11" t="s">
        <v>19</v>
      </c>
      <c r="G222" s="11" t="s">
        <v>36</v>
      </c>
      <c r="H222" s="9" t="s">
        <v>42</v>
      </c>
      <c r="I222" s="15">
        <v>1</v>
      </c>
      <c r="J222" s="17">
        <f>[1]Detail!M222+[1]Detail!N222</f>
        <v>417404</v>
      </c>
      <c r="K222" s="17">
        <f>J222*[1]Detail!I222</f>
        <v>417404</v>
      </c>
      <c r="L222" s="9"/>
    </row>
    <row r="223" ht="34.5" spans="1:12">
      <c r="A223" s="8" t="s">
        <v>895</v>
      </c>
      <c r="B223" s="9" t="s">
        <v>896</v>
      </c>
      <c r="C223" s="9" t="s">
        <v>897</v>
      </c>
      <c r="D223" s="9" t="s">
        <v>898</v>
      </c>
      <c r="E223" s="9" t="s">
        <v>267</v>
      </c>
      <c r="F223" s="11" t="s">
        <v>19</v>
      </c>
      <c r="G223" s="11" t="s">
        <v>20</v>
      </c>
      <c r="H223" s="9" t="s">
        <v>21</v>
      </c>
      <c r="I223" s="15">
        <v>1</v>
      </c>
      <c r="J223" s="17">
        <f>[1]Detail!M223+[1]Detail!N223</f>
        <v>434798</v>
      </c>
      <c r="K223" s="17">
        <f>J223*[1]Detail!I223</f>
        <v>434798</v>
      </c>
      <c r="L223" s="9"/>
    </row>
    <row r="224" ht="34.5" spans="1:12">
      <c r="A224" s="8" t="s">
        <v>899</v>
      </c>
      <c r="B224" s="9" t="s">
        <v>900</v>
      </c>
      <c r="C224" s="9" t="s">
        <v>901</v>
      </c>
      <c r="D224" s="9" t="s">
        <v>902</v>
      </c>
      <c r="E224" s="9" t="s">
        <v>76</v>
      </c>
      <c r="F224" s="11" t="s">
        <v>54</v>
      </c>
      <c r="G224" s="11" t="s">
        <v>36</v>
      </c>
      <c r="H224" s="9" t="s">
        <v>42</v>
      </c>
      <c r="I224" s="15">
        <v>1</v>
      </c>
      <c r="J224" s="17">
        <f>[1]Detail!M224+[1]Detail!N224</f>
        <v>185068</v>
      </c>
      <c r="K224" s="17">
        <f>J224*[1]Detail!I224</f>
        <v>185068</v>
      </c>
      <c r="L224" s="9"/>
    </row>
    <row r="225" ht="23" spans="1:12">
      <c r="A225" s="8" t="s">
        <v>903</v>
      </c>
      <c r="B225" s="9" t="s">
        <v>904</v>
      </c>
      <c r="C225" s="9" t="s">
        <v>905</v>
      </c>
      <c r="D225" s="9" t="s">
        <v>906</v>
      </c>
      <c r="E225" s="9" t="s">
        <v>428</v>
      </c>
      <c r="F225" s="11" t="s">
        <v>54</v>
      </c>
      <c r="G225" s="11" t="s">
        <v>20</v>
      </c>
      <c r="H225" s="9" t="s">
        <v>21</v>
      </c>
      <c r="I225" s="15">
        <v>1</v>
      </c>
      <c r="J225" s="17">
        <f>[1]Detail!M225+[1]Detail!N225</f>
        <v>146380</v>
      </c>
      <c r="K225" s="17">
        <f>J225*[1]Detail!I225</f>
        <v>146380</v>
      </c>
      <c r="L225" s="9"/>
    </row>
    <row r="226" spans="1:12">
      <c r="A226" s="8" t="s">
        <v>907</v>
      </c>
      <c r="B226" s="9" t="s">
        <v>908</v>
      </c>
      <c r="C226" s="9" t="s">
        <v>715</v>
      </c>
      <c r="D226" s="9" t="s">
        <v>909</v>
      </c>
      <c r="E226" s="9" t="s">
        <v>47</v>
      </c>
      <c r="F226" s="11" t="s">
        <v>48</v>
      </c>
      <c r="G226" s="11" t="s">
        <v>36</v>
      </c>
      <c r="H226" s="9" t="s">
        <v>42</v>
      </c>
      <c r="I226" s="15">
        <v>1</v>
      </c>
      <c r="J226" s="17">
        <f>[1]Detail!M226+[1]Detail!N226</f>
        <v>211406</v>
      </c>
      <c r="K226" s="17">
        <f>J226*[1]Detail!I226</f>
        <v>211406</v>
      </c>
      <c r="L226" s="9"/>
    </row>
    <row r="227" ht="23" spans="1:12">
      <c r="A227" s="8" t="s">
        <v>910</v>
      </c>
      <c r="B227" s="9" t="s">
        <v>911</v>
      </c>
      <c r="C227" s="9" t="s">
        <v>912</v>
      </c>
      <c r="D227" s="9" t="s">
        <v>913</v>
      </c>
      <c r="E227" s="9" t="s">
        <v>307</v>
      </c>
      <c r="F227" s="11" t="s">
        <v>35</v>
      </c>
      <c r="G227" s="11" t="s">
        <v>36</v>
      </c>
      <c r="H227" s="9" t="s">
        <v>42</v>
      </c>
      <c r="I227" s="15">
        <v>1</v>
      </c>
      <c r="J227" s="17">
        <f>[1]Detail!M227+[1]Detail!N227</f>
        <v>267332</v>
      </c>
      <c r="K227" s="17">
        <f>J227*[1]Detail!I227</f>
        <v>267332</v>
      </c>
      <c r="L227" s="9"/>
    </row>
    <row r="228" ht="57.5" spans="1:12">
      <c r="A228" s="8" t="s">
        <v>914</v>
      </c>
      <c r="B228" s="9" t="s">
        <v>915</v>
      </c>
      <c r="C228" s="9" t="s">
        <v>916</v>
      </c>
      <c r="D228" s="9" t="s">
        <v>917</v>
      </c>
      <c r="E228" s="9" t="s">
        <v>204</v>
      </c>
      <c r="F228" s="11" t="s">
        <v>54</v>
      </c>
      <c r="G228" s="11" t="s">
        <v>41</v>
      </c>
      <c r="H228" s="9" t="s">
        <v>42</v>
      </c>
      <c r="I228" s="15">
        <v>1</v>
      </c>
      <c r="J228" s="17">
        <f>[1]Detail!M228+[1]Detail!N228</f>
        <v>344682</v>
      </c>
      <c r="K228" s="17">
        <f>J228*[1]Detail!I228</f>
        <v>344682</v>
      </c>
      <c r="L228" s="9"/>
    </row>
    <row r="229" ht="23" spans="1:12">
      <c r="A229" s="8" t="s">
        <v>918</v>
      </c>
      <c r="B229" s="9" t="s">
        <v>919</v>
      </c>
      <c r="C229" s="9" t="s">
        <v>920</v>
      </c>
      <c r="D229" s="9" t="s">
        <v>921</v>
      </c>
      <c r="E229" s="9" t="s">
        <v>76</v>
      </c>
      <c r="F229" s="11" t="s">
        <v>54</v>
      </c>
      <c r="G229" s="11" t="s">
        <v>20</v>
      </c>
      <c r="H229" s="9" t="s">
        <v>21</v>
      </c>
      <c r="I229" s="15">
        <v>1</v>
      </c>
      <c r="J229" s="17">
        <f>[1]Detail!M229+[1]Detail!N229</f>
        <v>602238</v>
      </c>
      <c r="K229" s="17">
        <f>J229*[1]Detail!I229</f>
        <v>602238</v>
      </c>
      <c r="L229" s="9"/>
    </row>
    <row r="230" spans="1:12">
      <c r="A230" s="8" t="s">
        <v>922</v>
      </c>
      <c r="B230" s="9" t="s">
        <v>923</v>
      </c>
      <c r="C230" s="9" t="s">
        <v>924</v>
      </c>
      <c r="D230" s="9" t="s">
        <v>925</v>
      </c>
      <c r="E230" s="9" t="s">
        <v>76</v>
      </c>
      <c r="F230" s="11" t="s">
        <v>54</v>
      </c>
      <c r="G230" s="11" t="s">
        <v>36</v>
      </c>
      <c r="H230" s="9" t="s">
        <v>42</v>
      </c>
      <c r="I230" s="15">
        <v>1</v>
      </c>
      <c r="J230" s="17">
        <f>[1]Detail!M230+[1]Detail!N230</f>
        <v>143936</v>
      </c>
      <c r="K230" s="17">
        <f>J230*[1]Detail!I230</f>
        <v>143936</v>
      </c>
      <c r="L230" s="9"/>
    </row>
    <row r="231" ht="34.5" spans="1:12">
      <c r="A231" s="8" t="s">
        <v>926</v>
      </c>
      <c r="B231" s="9" t="s">
        <v>927</v>
      </c>
      <c r="C231" s="9" t="s">
        <v>928</v>
      </c>
      <c r="D231" s="9" t="s">
        <v>929</v>
      </c>
      <c r="E231" s="9" t="s">
        <v>184</v>
      </c>
      <c r="F231" s="11" t="s">
        <v>54</v>
      </c>
      <c r="G231" s="11" t="s">
        <v>20</v>
      </c>
      <c r="H231" s="9" t="s">
        <v>42</v>
      </c>
      <c r="I231" s="15">
        <v>1</v>
      </c>
      <c r="J231" s="17">
        <f>[1]Detail!M231+[1]Detail!N231</f>
        <v>146874</v>
      </c>
      <c r="K231" s="17">
        <f>J231*[1]Detail!I231</f>
        <v>146874</v>
      </c>
      <c r="L231" s="9"/>
    </row>
    <row r="232" ht="23" spans="1:12">
      <c r="A232" s="8" t="s">
        <v>930</v>
      </c>
      <c r="B232" s="9" t="s">
        <v>931</v>
      </c>
      <c r="C232" s="9" t="s">
        <v>932</v>
      </c>
      <c r="D232" s="9" t="s">
        <v>933</v>
      </c>
      <c r="E232" s="9" t="s">
        <v>934</v>
      </c>
      <c r="F232" s="11" t="s">
        <v>19</v>
      </c>
      <c r="G232" s="11" t="s">
        <v>36</v>
      </c>
      <c r="H232" s="9" t="s">
        <v>42</v>
      </c>
      <c r="I232" s="15">
        <v>1</v>
      </c>
      <c r="J232" s="17">
        <f>[1]Detail!M232+[1]Detail!N232</f>
        <v>281060</v>
      </c>
      <c r="K232" s="17">
        <f>J232*[1]Detail!I232</f>
        <v>281060</v>
      </c>
      <c r="L232" s="9"/>
    </row>
    <row r="233" spans="1:12">
      <c r="A233" s="8" t="s">
        <v>935</v>
      </c>
      <c r="B233" s="9" t="s">
        <v>936</v>
      </c>
      <c r="C233" s="9" t="s">
        <v>757</v>
      </c>
      <c r="D233" s="9" t="s">
        <v>937</v>
      </c>
      <c r="E233" s="9" t="s">
        <v>76</v>
      </c>
      <c r="F233" s="11" t="s">
        <v>54</v>
      </c>
      <c r="G233" s="11" t="s">
        <v>36</v>
      </c>
      <c r="H233" s="9" t="s">
        <v>42</v>
      </c>
      <c r="I233" s="15">
        <v>1</v>
      </c>
      <c r="J233" s="17">
        <f>[1]Detail!M233+[1]Detail!N233</f>
        <v>149812</v>
      </c>
      <c r="K233" s="17">
        <f>J233*[1]Detail!I233</f>
        <v>149812</v>
      </c>
      <c r="L233" s="9"/>
    </row>
    <row r="234" spans="1:12">
      <c r="A234" s="8" t="s">
        <v>938</v>
      </c>
      <c r="B234" s="9" t="s">
        <v>939</v>
      </c>
      <c r="C234" s="9" t="s">
        <v>940</v>
      </c>
      <c r="D234" s="9" t="s">
        <v>941</v>
      </c>
      <c r="E234" s="9" t="s">
        <v>76</v>
      </c>
      <c r="F234" s="11" t="s">
        <v>54</v>
      </c>
      <c r="G234" s="11" t="s">
        <v>36</v>
      </c>
      <c r="H234" s="9" t="s">
        <v>42</v>
      </c>
      <c r="I234" s="15">
        <v>1</v>
      </c>
      <c r="J234" s="17">
        <f>[1]Detail!M234+[1]Detail!N234</f>
        <v>143936</v>
      </c>
      <c r="K234" s="17">
        <f>J234*[1]Detail!I234</f>
        <v>143936</v>
      </c>
      <c r="L234" s="9"/>
    </row>
    <row r="235" spans="1:12">
      <c r="A235" s="8" t="s">
        <v>942</v>
      </c>
      <c r="B235" s="9" t="s">
        <v>943</v>
      </c>
      <c r="C235" s="9" t="s">
        <v>944</v>
      </c>
      <c r="D235" s="9" t="s">
        <v>945</v>
      </c>
      <c r="E235" s="9" t="s">
        <v>76</v>
      </c>
      <c r="F235" s="11" t="s">
        <v>54</v>
      </c>
      <c r="G235" s="11" t="s">
        <v>36</v>
      </c>
      <c r="H235" s="9" t="s">
        <v>42</v>
      </c>
      <c r="I235" s="15">
        <v>1</v>
      </c>
      <c r="J235" s="17">
        <f>[1]Detail!M235+[1]Detail!N235</f>
        <v>337844</v>
      </c>
      <c r="K235" s="17">
        <f>J235*[1]Detail!I235</f>
        <v>337844</v>
      </c>
      <c r="L235" s="9"/>
    </row>
    <row r="236" ht="23" spans="1:12">
      <c r="A236" s="8" t="s">
        <v>946</v>
      </c>
      <c r="B236" s="9" t="s">
        <v>947</v>
      </c>
      <c r="C236" s="9" t="s">
        <v>948</v>
      </c>
      <c r="D236" s="9" t="s">
        <v>949</v>
      </c>
      <c r="E236" s="9" t="s">
        <v>267</v>
      </c>
      <c r="F236" s="11" t="s">
        <v>19</v>
      </c>
      <c r="G236" s="11" t="s">
        <v>20</v>
      </c>
      <c r="H236" s="9" t="s">
        <v>21</v>
      </c>
      <c r="I236" s="15">
        <v>1</v>
      </c>
      <c r="J236" s="17">
        <f>[1]Detail!M236+[1]Detail!N236</f>
        <v>587548</v>
      </c>
      <c r="K236" s="17">
        <f>J236*[1]Detail!I236</f>
        <v>587548</v>
      </c>
      <c r="L236" s="9"/>
    </row>
    <row r="237" ht="23" spans="1:12">
      <c r="A237" s="8" t="s">
        <v>950</v>
      </c>
      <c r="B237" s="9" t="s">
        <v>951</v>
      </c>
      <c r="C237" s="9" t="s">
        <v>952</v>
      </c>
      <c r="D237" s="9" t="s">
        <v>953</v>
      </c>
      <c r="E237" s="9" t="s">
        <v>124</v>
      </c>
      <c r="F237" s="11" t="s">
        <v>19</v>
      </c>
      <c r="G237" s="11" t="s">
        <v>20</v>
      </c>
      <c r="H237" s="9" t="s">
        <v>42</v>
      </c>
      <c r="I237" s="15">
        <v>1</v>
      </c>
      <c r="J237" s="17">
        <f>[1]Detail!M237+[1]Detail!N237</f>
        <v>141830</v>
      </c>
      <c r="K237" s="17">
        <f>J237*[1]Detail!I237</f>
        <v>141830</v>
      </c>
      <c r="L237" s="9"/>
    </row>
    <row r="238" ht="34.5" spans="1:12">
      <c r="A238" s="8" t="s">
        <v>954</v>
      </c>
      <c r="B238" s="9" t="s">
        <v>955</v>
      </c>
      <c r="C238" s="9" t="s">
        <v>956</v>
      </c>
      <c r="D238" s="9" t="s">
        <v>957</v>
      </c>
      <c r="E238" s="9" t="s">
        <v>267</v>
      </c>
      <c r="F238" s="11" t="s">
        <v>19</v>
      </c>
      <c r="G238" s="11" t="s">
        <v>36</v>
      </c>
      <c r="H238" s="9" t="s">
        <v>21</v>
      </c>
      <c r="I238" s="15">
        <v>1</v>
      </c>
      <c r="J238" s="17">
        <f>[1]Detail!M238+[1]Detail!N238</f>
        <v>305526</v>
      </c>
      <c r="K238" s="17">
        <f>J238*[1]Detail!I238</f>
        <v>305526</v>
      </c>
      <c r="L238" s="9"/>
    </row>
    <row r="239" ht="46" spans="1:12">
      <c r="A239" s="8" t="s">
        <v>958</v>
      </c>
      <c r="B239" s="9" t="s">
        <v>959</v>
      </c>
      <c r="C239" s="9" t="s">
        <v>960</v>
      </c>
      <c r="D239" s="9" t="s">
        <v>961</v>
      </c>
      <c r="E239" s="9" t="s">
        <v>124</v>
      </c>
      <c r="F239" s="11" t="s">
        <v>19</v>
      </c>
      <c r="G239" s="11" t="s">
        <v>36</v>
      </c>
      <c r="H239" s="9" t="s">
        <v>42</v>
      </c>
      <c r="I239" s="15">
        <v>1</v>
      </c>
      <c r="J239" s="17">
        <f>[1]Detail!M239+[1]Detail!N239</f>
        <v>50674</v>
      </c>
      <c r="K239" s="17">
        <f>J239*[1]Detail!I239</f>
        <v>50674</v>
      </c>
      <c r="L239" s="9"/>
    </row>
    <row r="240" ht="34.5" spans="1:12">
      <c r="A240" s="8" t="s">
        <v>962</v>
      </c>
      <c r="B240" s="9" t="s">
        <v>963</v>
      </c>
      <c r="C240" s="9" t="s">
        <v>964</v>
      </c>
      <c r="D240" s="9" t="s">
        <v>965</v>
      </c>
      <c r="E240" s="9" t="s">
        <v>267</v>
      </c>
      <c r="F240" s="11" t="s">
        <v>19</v>
      </c>
      <c r="G240" s="11" t="s">
        <v>20</v>
      </c>
      <c r="H240" s="9" t="s">
        <v>21</v>
      </c>
      <c r="I240" s="15">
        <v>1</v>
      </c>
      <c r="J240" s="17">
        <f>[1]Detail!M240+[1]Detail!N240</f>
        <v>458276</v>
      </c>
      <c r="K240" s="17">
        <f>J240*[1]Detail!I240</f>
        <v>458276</v>
      </c>
      <c r="L240" s="9"/>
    </row>
    <row r="241" ht="23" spans="1:12">
      <c r="A241" s="8" t="s">
        <v>966</v>
      </c>
      <c r="B241" s="9" t="s">
        <v>967</v>
      </c>
      <c r="C241" s="9" t="s">
        <v>968</v>
      </c>
      <c r="D241" s="9" t="s">
        <v>969</v>
      </c>
      <c r="E241" s="9" t="s">
        <v>267</v>
      </c>
      <c r="F241" s="11" t="s">
        <v>19</v>
      </c>
      <c r="G241" s="11" t="s">
        <v>20</v>
      </c>
      <c r="H241" s="9" t="s">
        <v>21</v>
      </c>
      <c r="I241" s="15">
        <v>1</v>
      </c>
      <c r="J241" s="17">
        <f>[1]Detail!M241+[1]Detail!N241</f>
        <v>293774</v>
      </c>
      <c r="K241" s="17">
        <f>J241*[1]Detail!I241</f>
        <v>293774</v>
      </c>
      <c r="L241" s="9"/>
    </row>
    <row r="242" spans="1:12">
      <c r="A242" s="8"/>
      <c r="B242" s="9"/>
      <c r="C242" s="9"/>
      <c r="D242" s="10" t="s">
        <v>970</v>
      </c>
      <c r="E242" s="9"/>
      <c r="F242" s="11"/>
      <c r="G242" s="11"/>
      <c r="H242" s="9"/>
      <c r="I242" s="15"/>
      <c r="J242" s="17"/>
      <c r="K242" s="17"/>
      <c r="L242" s="9"/>
    </row>
    <row r="243" ht="46" spans="1:12">
      <c r="A243" s="8"/>
      <c r="B243" s="9"/>
      <c r="C243" s="9"/>
      <c r="D243" s="10" t="s">
        <v>971</v>
      </c>
      <c r="E243" s="9"/>
      <c r="F243" s="11"/>
      <c r="G243" s="11"/>
      <c r="H243" s="9"/>
      <c r="I243" s="15"/>
      <c r="J243" s="17"/>
      <c r="K243" s="17"/>
      <c r="L243" s="9"/>
    </row>
    <row r="244" ht="34.5" spans="1:12">
      <c r="A244" s="8" t="s">
        <v>972</v>
      </c>
      <c r="B244" s="9" t="s">
        <v>973</v>
      </c>
      <c r="C244" s="9" t="s">
        <v>974</v>
      </c>
      <c r="D244" s="9" t="s">
        <v>975</v>
      </c>
      <c r="E244" s="9" t="s">
        <v>195</v>
      </c>
      <c r="F244" s="11" t="s">
        <v>19</v>
      </c>
      <c r="G244" s="11" t="s">
        <v>20</v>
      </c>
      <c r="H244" s="9" t="s">
        <v>42</v>
      </c>
      <c r="I244" s="15">
        <v>1</v>
      </c>
      <c r="J244" s="17">
        <f>[1]Detail!M244+[1]Detail!N244</f>
        <v>511654</v>
      </c>
      <c r="K244" s="17">
        <f>J244*[1]Detail!I244</f>
        <v>511654</v>
      </c>
      <c r="L244" s="9"/>
    </row>
    <row r="245" ht="34.5" spans="1:12">
      <c r="A245" s="8" t="s">
        <v>976</v>
      </c>
      <c r="B245" s="9" t="s">
        <v>977</v>
      </c>
      <c r="C245" s="9" t="s">
        <v>978</v>
      </c>
      <c r="D245" s="9" t="s">
        <v>979</v>
      </c>
      <c r="E245" s="9" t="s">
        <v>47</v>
      </c>
      <c r="F245" s="11" t="s">
        <v>48</v>
      </c>
      <c r="G245" s="11" t="s">
        <v>36</v>
      </c>
      <c r="H245" s="9" t="s">
        <v>21</v>
      </c>
      <c r="I245" s="15">
        <v>1</v>
      </c>
      <c r="J245" s="17">
        <f>[1]Detail!M245+[1]Detail!N245</f>
        <v>350090</v>
      </c>
      <c r="K245" s="17">
        <f>J245*[1]Detail!I245</f>
        <v>350090</v>
      </c>
      <c r="L245" s="9"/>
    </row>
    <row r="246" spans="1:12">
      <c r="A246" s="8" t="s">
        <v>980</v>
      </c>
      <c r="B246" s="9" t="s">
        <v>981</v>
      </c>
      <c r="C246" s="9" t="s">
        <v>715</v>
      </c>
      <c r="D246" s="9" t="s">
        <v>982</v>
      </c>
      <c r="E246" s="9" t="s">
        <v>47</v>
      </c>
      <c r="F246" s="11" t="s">
        <v>48</v>
      </c>
      <c r="G246" s="11" t="s">
        <v>36</v>
      </c>
      <c r="H246" s="9" t="s">
        <v>42</v>
      </c>
      <c r="I246" s="15">
        <v>1</v>
      </c>
      <c r="J246" s="17">
        <f>[1]Detail!M246+[1]Detail!N246</f>
        <v>196586</v>
      </c>
      <c r="K246" s="17">
        <f>J246*[1]Detail!I246</f>
        <v>196586</v>
      </c>
      <c r="L246" s="9"/>
    </row>
    <row r="247" spans="1:12">
      <c r="A247" s="8" t="s">
        <v>983</v>
      </c>
      <c r="B247" s="9" t="s">
        <v>908</v>
      </c>
      <c r="C247" s="9" t="s">
        <v>715</v>
      </c>
      <c r="D247" s="9" t="s">
        <v>909</v>
      </c>
      <c r="E247" s="9" t="s">
        <v>47</v>
      </c>
      <c r="F247" s="11" t="s">
        <v>48</v>
      </c>
      <c r="G247" s="11" t="s">
        <v>36</v>
      </c>
      <c r="H247" s="9" t="s">
        <v>42</v>
      </c>
      <c r="I247" s="15">
        <v>1</v>
      </c>
      <c r="J247" s="17">
        <f>[1]Detail!M247+[1]Detail!N247</f>
        <v>211406</v>
      </c>
      <c r="K247" s="17">
        <f>J247*[1]Detail!I247</f>
        <v>211406</v>
      </c>
      <c r="L247" s="9"/>
    </row>
    <row r="248" ht="23" spans="1:12">
      <c r="A248" s="8" t="s">
        <v>984</v>
      </c>
      <c r="B248" s="9" t="s">
        <v>985</v>
      </c>
      <c r="C248" s="9" t="s">
        <v>986</v>
      </c>
      <c r="D248" s="9" t="s">
        <v>987</v>
      </c>
      <c r="E248" s="9" t="s">
        <v>47</v>
      </c>
      <c r="F248" s="11" t="s">
        <v>48</v>
      </c>
      <c r="G248" s="11" t="s">
        <v>20</v>
      </c>
      <c r="H248" s="9" t="s">
        <v>42</v>
      </c>
      <c r="I248" s="15">
        <v>1</v>
      </c>
      <c r="J248" s="17">
        <f>[1]Detail!M248+[1]Detail!N248</f>
        <v>172354</v>
      </c>
      <c r="K248" s="17">
        <f>J248*[1]Detail!I248</f>
        <v>172354</v>
      </c>
      <c r="L248" s="9"/>
    </row>
    <row r="249" ht="34.5" spans="1:12">
      <c r="A249" s="8" t="s">
        <v>988</v>
      </c>
      <c r="B249" s="9" t="s">
        <v>989</v>
      </c>
      <c r="C249" s="9" t="s">
        <v>990</v>
      </c>
      <c r="D249" s="9" t="s">
        <v>991</v>
      </c>
      <c r="E249" s="9" t="s">
        <v>992</v>
      </c>
      <c r="F249" s="11" t="s">
        <v>35</v>
      </c>
      <c r="G249" s="11" t="s">
        <v>20</v>
      </c>
      <c r="H249" s="9" t="s">
        <v>21</v>
      </c>
      <c r="I249" s="15">
        <v>1</v>
      </c>
      <c r="J249" s="17">
        <f>[1]Detail!M249+[1]Detail!N249</f>
        <v>740532</v>
      </c>
      <c r="K249" s="17">
        <f>J249*[1]Detail!I249</f>
        <v>740532</v>
      </c>
      <c r="L249" s="9"/>
    </row>
    <row r="250" ht="34.5" spans="1:12">
      <c r="A250" s="8" t="s">
        <v>993</v>
      </c>
      <c r="B250" s="9" t="s">
        <v>994</v>
      </c>
      <c r="C250" s="9" t="s">
        <v>995</v>
      </c>
      <c r="D250" s="9" t="s">
        <v>996</v>
      </c>
      <c r="E250" s="9" t="s">
        <v>195</v>
      </c>
      <c r="F250" s="11" t="s">
        <v>19</v>
      </c>
      <c r="G250" s="11" t="s">
        <v>20</v>
      </c>
      <c r="H250" s="9" t="s">
        <v>42</v>
      </c>
      <c r="I250" s="15">
        <v>1</v>
      </c>
      <c r="J250" s="17">
        <f>[1]Detail!M250+[1]Detail!N250</f>
        <v>525096</v>
      </c>
      <c r="K250" s="17">
        <f>J250*[1]Detail!I250</f>
        <v>525096</v>
      </c>
      <c r="L250" s="9"/>
    </row>
    <row r="251" ht="23" spans="1:12">
      <c r="A251" s="8" t="s">
        <v>997</v>
      </c>
      <c r="B251" s="9" t="s">
        <v>998</v>
      </c>
      <c r="C251" s="9" t="s">
        <v>999</v>
      </c>
      <c r="D251" s="9" t="s">
        <v>1000</v>
      </c>
      <c r="E251" s="9" t="s">
        <v>34</v>
      </c>
      <c r="F251" s="11" t="s">
        <v>35</v>
      </c>
      <c r="G251" s="11" t="s">
        <v>20</v>
      </c>
      <c r="H251" s="9" t="s">
        <v>21</v>
      </c>
      <c r="I251" s="15">
        <v>1</v>
      </c>
      <c r="J251" s="17">
        <f>[1]Detail!M251+[1]Detail!N251</f>
        <v>499408</v>
      </c>
      <c r="K251" s="17">
        <f>J251*[1]Detail!I251</f>
        <v>499408</v>
      </c>
      <c r="L251" s="9"/>
    </row>
    <row r="252" ht="46" spans="1:12">
      <c r="A252" s="8" t="s">
        <v>1001</v>
      </c>
      <c r="B252" s="9" t="s">
        <v>1002</v>
      </c>
      <c r="C252" s="9" t="s">
        <v>1003</v>
      </c>
      <c r="D252" s="9" t="s">
        <v>1004</v>
      </c>
      <c r="E252" s="9" t="s">
        <v>34</v>
      </c>
      <c r="F252" s="11" t="s">
        <v>35</v>
      </c>
      <c r="G252" s="11" t="s">
        <v>20</v>
      </c>
      <c r="H252" s="9" t="s">
        <v>21</v>
      </c>
      <c r="I252" s="15">
        <v>1</v>
      </c>
      <c r="J252" s="17">
        <f>[1]Detail!M252+[1]Detail!N252</f>
        <v>528788</v>
      </c>
      <c r="K252" s="17">
        <f>J252*[1]Detail!I252</f>
        <v>528788</v>
      </c>
      <c r="L252" s="9"/>
    </row>
    <row r="253" ht="34.5" spans="1:12">
      <c r="A253" s="8" t="s">
        <v>1005</v>
      </c>
      <c r="B253" s="9" t="s">
        <v>1006</v>
      </c>
      <c r="C253" s="9" t="s">
        <v>1007</v>
      </c>
      <c r="D253" s="9" t="s">
        <v>1008</v>
      </c>
      <c r="E253" s="9" t="s">
        <v>34</v>
      </c>
      <c r="F253" s="11" t="s">
        <v>35</v>
      </c>
      <c r="G253" s="11" t="s">
        <v>20</v>
      </c>
      <c r="H253" s="9" t="s">
        <v>21</v>
      </c>
      <c r="I253" s="15">
        <v>1</v>
      </c>
      <c r="J253" s="17">
        <f>[1]Detail!M253+[1]Detail!N253</f>
        <v>499408</v>
      </c>
      <c r="K253" s="17">
        <f>J253*[1]Detail!I253</f>
        <v>499408</v>
      </c>
      <c r="L253" s="9"/>
    </row>
    <row r="254" spans="1:12">
      <c r="A254" s="8" t="s">
        <v>1009</v>
      </c>
      <c r="B254" s="9" t="s">
        <v>1010</v>
      </c>
      <c r="C254" s="9" t="s">
        <v>1011</v>
      </c>
      <c r="D254" s="9" t="s">
        <v>1012</v>
      </c>
      <c r="E254" s="9" t="s">
        <v>76</v>
      </c>
      <c r="F254" s="11" t="s">
        <v>54</v>
      </c>
      <c r="G254" s="11" t="s">
        <v>36</v>
      </c>
      <c r="H254" s="9" t="s">
        <v>42</v>
      </c>
      <c r="I254" s="15">
        <v>1</v>
      </c>
      <c r="J254" s="17">
        <f>[1]Detail!M254+[1]Detail!N254</f>
        <v>179192</v>
      </c>
      <c r="K254" s="17">
        <f>J254*[1]Detail!I254</f>
        <v>179192</v>
      </c>
      <c r="L254" s="9"/>
    </row>
    <row r="255" ht="23" spans="1:12">
      <c r="A255" s="8" t="s">
        <v>1013</v>
      </c>
      <c r="B255" s="9" t="s">
        <v>1014</v>
      </c>
      <c r="C255" s="9" t="s">
        <v>1015</v>
      </c>
      <c r="D255" s="9" t="s">
        <v>1016</v>
      </c>
      <c r="E255" s="9" t="s">
        <v>76</v>
      </c>
      <c r="F255" s="11" t="s">
        <v>54</v>
      </c>
      <c r="G255" s="11" t="s">
        <v>36</v>
      </c>
      <c r="H255" s="9" t="s">
        <v>21</v>
      </c>
      <c r="I255" s="15">
        <v>1</v>
      </c>
      <c r="J255" s="17">
        <f>[1]Detail!M255+[1]Detail!N255</f>
        <v>514098</v>
      </c>
      <c r="K255" s="17">
        <f>J255*[1]Detail!I255</f>
        <v>514098</v>
      </c>
      <c r="L255" s="9"/>
    </row>
    <row r="256" ht="23" spans="1:12">
      <c r="A256" s="8" t="s">
        <v>1017</v>
      </c>
      <c r="B256" s="9" t="s">
        <v>1018</v>
      </c>
      <c r="C256" s="9" t="s">
        <v>1019</v>
      </c>
      <c r="D256" s="9" t="s">
        <v>1020</v>
      </c>
      <c r="E256" s="9" t="s">
        <v>1021</v>
      </c>
      <c r="F256" s="11" t="s">
        <v>54</v>
      </c>
      <c r="G256" s="11" t="s">
        <v>41</v>
      </c>
      <c r="H256" s="9" t="s">
        <v>21</v>
      </c>
      <c r="I256" s="15">
        <v>1</v>
      </c>
      <c r="J256" s="17">
        <f>[1]Detail!M256+[1]Detail!N256</f>
        <v>1413750</v>
      </c>
      <c r="K256" s="17">
        <f>J256*[1]Detail!I256</f>
        <v>1413750</v>
      </c>
      <c r="L256" s="9"/>
    </row>
    <row r="257" ht="34.5" spans="1:12">
      <c r="A257" s="8" t="s">
        <v>1022</v>
      </c>
      <c r="B257" s="9" t="s">
        <v>1023</v>
      </c>
      <c r="C257" s="9" t="s">
        <v>1024</v>
      </c>
      <c r="D257" s="9" t="s">
        <v>1025</v>
      </c>
      <c r="E257" s="9" t="s">
        <v>76</v>
      </c>
      <c r="F257" s="11" t="s">
        <v>54</v>
      </c>
      <c r="G257" s="11" t="s">
        <v>20</v>
      </c>
      <c r="H257" s="9" t="s">
        <v>42</v>
      </c>
      <c r="I257" s="15">
        <v>1</v>
      </c>
      <c r="J257" s="17">
        <f>[1]Detail!M257+[1]Detail!N257</f>
        <v>308464</v>
      </c>
      <c r="K257" s="17">
        <f>J257*[1]Detail!I257</f>
        <v>308464</v>
      </c>
      <c r="L257" s="9"/>
    </row>
    <row r="258" ht="34.5" spans="1:12">
      <c r="A258" s="8" t="s">
        <v>1026</v>
      </c>
      <c r="B258" s="9" t="s">
        <v>1027</v>
      </c>
      <c r="C258" s="9" t="s">
        <v>1028</v>
      </c>
      <c r="D258" s="9" t="s">
        <v>1029</v>
      </c>
      <c r="E258" s="9" t="s">
        <v>195</v>
      </c>
      <c r="F258" s="11" t="s">
        <v>19</v>
      </c>
      <c r="G258" s="11" t="s">
        <v>20</v>
      </c>
      <c r="H258" s="9" t="s">
        <v>42</v>
      </c>
      <c r="I258" s="15">
        <v>1</v>
      </c>
      <c r="J258" s="17">
        <f>[1]Detail!M258+[1]Detail!N258</f>
        <v>503542</v>
      </c>
      <c r="K258" s="17">
        <f>J258*[1]Detail!I258</f>
        <v>503542</v>
      </c>
      <c r="L258" s="9"/>
    </row>
    <row r="259" ht="46" spans="1:12">
      <c r="A259" s="8" t="s">
        <v>1030</v>
      </c>
      <c r="B259" s="9" t="s">
        <v>1031</v>
      </c>
      <c r="C259" s="9" t="s">
        <v>1032</v>
      </c>
      <c r="D259" s="9" t="s">
        <v>1033</v>
      </c>
      <c r="E259" s="9" t="s">
        <v>34</v>
      </c>
      <c r="F259" s="11" t="s">
        <v>35</v>
      </c>
      <c r="G259" s="11" t="s">
        <v>36</v>
      </c>
      <c r="H259" s="9" t="s">
        <v>21</v>
      </c>
      <c r="I259" s="15">
        <v>1</v>
      </c>
      <c r="J259" s="17">
        <f>[1]Detail!M259+[1]Detail!N259</f>
        <v>543478</v>
      </c>
      <c r="K259" s="17">
        <f>J259*[1]Detail!I259</f>
        <v>543478</v>
      </c>
      <c r="L259" s="9"/>
    </row>
    <row r="260" ht="46" spans="1:12">
      <c r="A260" s="8" t="s">
        <v>1034</v>
      </c>
      <c r="B260" s="9" t="s">
        <v>1035</v>
      </c>
      <c r="C260" s="9" t="s">
        <v>1036</v>
      </c>
      <c r="D260" s="9" t="s">
        <v>1037</v>
      </c>
      <c r="E260" s="9" t="s">
        <v>47</v>
      </c>
      <c r="F260" s="11" t="s">
        <v>48</v>
      </c>
      <c r="G260" s="11" t="s">
        <v>36</v>
      </c>
      <c r="H260" s="9" t="s">
        <v>42</v>
      </c>
      <c r="I260" s="15">
        <v>1</v>
      </c>
      <c r="J260" s="17">
        <f>[1]Detail!M260+[1]Detail!N260</f>
        <v>220818</v>
      </c>
      <c r="K260" s="17">
        <f>J260*[1]Detail!I260</f>
        <v>220818</v>
      </c>
      <c r="L260" s="9"/>
    </row>
    <row r="261" ht="46" spans="1:12">
      <c r="A261" s="8" t="s">
        <v>1038</v>
      </c>
      <c r="B261" s="9" t="s">
        <v>1039</v>
      </c>
      <c r="C261" s="9" t="s">
        <v>1040</v>
      </c>
      <c r="D261" s="9" t="s">
        <v>1041</v>
      </c>
      <c r="E261" s="9" t="s">
        <v>638</v>
      </c>
      <c r="F261" s="11" t="s">
        <v>19</v>
      </c>
      <c r="G261" s="11" t="s">
        <v>36</v>
      </c>
      <c r="H261" s="9" t="s">
        <v>21</v>
      </c>
      <c r="I261" s="15">
        <v>1</v>
      </c>
      <c r="J261" s="17">
        <f>[1]Detail!M261+[1]Detail!N261</f>
        <v>519974</v>
      </c>
      <c r="K261" s="17">
        <f>J261*[1]Detail!I261</f>
        <v>519974</v>
      </c>
      <c r="L261" s="9"/>
    </row>
    <row r="262" ht="46" spans="1:12">
      <c r="A262" s="8" t="s">
        <v>1042</v>
      </c>
      <c r="B262" s="9" t="s">
        <v>1043</v>
      </c>
      <c r="C262" s="9" t="s">
        <v>1044</v>
      </c>
      <c r="D262" s="9" t="s">
        <v>1045</v>
      </c>
      <c r="E262" s="9" t="s">
        <v>76</v>
      </c>
      <c r="F262" s="11" t="s">
        <v>54</v>
      </c>
      <c r="G262" s="11" t="s">
        <v>36</v>
      </c>
      <c r="H262" s="9" t="s">
        <v>42</v>
      </c>
      <c r="I262" s="15">
        <v>1</v>
      </c>
      <c r="J262" s="17">
        <f>[1]Detail!M262+[1]Detail!N262</f>
        <v>143936</v>
      </c>
      <c r="K262" s="17">
        <f>J262*[1]Detail!I262</f>
        <v>143936</v>
      </c>
      <c r="L262" s="9"/>
    </row>
    <row r="263" ht="34.5" spans="1:12">
      <c r="A263" s="8" t="s">
        <v>1046</v>
      </c>
      <c r="B263" s="9" t="s">
        <v>1047</v>
      </c>
      <c r="C263" s="9" t="s">
        <v>1048</v>
      </c>
      <c r="D263" s="9" t="s">
        <v>1049</v>
      </c>
      <c r="E263" s="9" t="s">
        <v>356</v>
      </c>
      <c r="F263" s="11" t="s">
        <v>357</v>
      </c>
      <c r="G263" s="11" t="s">
        <v>36</v>
      </c>
      <c r="H263" s="9" t="s">
        <v>21</v>
      </c>
      <c r="I263" s="15">
        <v>1</v>
      </c>
      <c r="J263" s="17">
        <f>[1]Detail!M263+[1]Detail!N263</f>
        <v>350064</v>
      </c>
      <c r="K263" s="17">
        <f>J263*[1]Detail!I263</f>
        <v>350064</v>
      </c>
      <c r="L263" s="9"/>
    </row>
    <row r="264" ht="34.5" spans="1:12">
      <c r="A264" s="8" t="s">
        <v>1050</v>
      </c>
      <c r="B264" s="9" t="s">
        <v>1051</v>
      </c>
      <c r="C264" s="9" t="s">
        <v>1052</v>
      </c>
      <c r="D264" s="9" t="s">
        <v>1053</v>
      </c>
      <c r="E264" s="9" t="s">
        <v>267</v>
      </c>
      <c r="F264" s="11" t="s">
        <v>19</v>
      </c>
      <c r="G264" s="11" t="s">
        <v>20</v>
      </c>
      <c r="H264" s="9" t="s">
        <v>21</v>
      </c>
      <c r="I264" s="15">
        <v>1</v>
      </c>
      <c r="J264" s="17">
        <f>[1]Detail!M264+[1]Detail!N264</f>
        <v>317278</v>
      </c>
      <c r="K264" s="17">
        <f>J264*[1]Detail!I264</f>
        <v>317278</v>
      </c>
      <c r="L264" s="9"/>
    </row>
    <row r="265" ht="34.5" spans="1:12">
      <c r="A265" s="8" t="s">
        <v>1054</v>
      </c>
      <c r="B265" s="9" t="s">
        <v>1055</v>
      </c>
      <c r="C265" s="9" t="s">
        <v>1056</v>
      </c>
      <c r="D265" s="9" t="s">
        <v>1057</v>
      </c>
      <c r="E265" s="9" t="s">
        <v>179</v>
      </c>
      <c r="F265" s="11" t="s">
        <v>162</v>
      </c>
      <c r="G265" s="11" t="s">
        <v>20</v>
      </c>
      <c r="H265" s="9" t="s">
        <v>21</v>
      </c>
      <c r="I265" s="15">
        <v>1</v>
      </c>
      <c r="J265" s="17">
        <f>[1]Detail!M265+[1]Detail!N265</f>
        <v>376974</v>
      </c>
      <c r="K265" s="17">
        <f>J265*[1]Detail!I265</f>
        <v>376974</v>
      </c>
      <c r="L265" s="9"/>
    </row>
    <row r="266" spans="1:12">
      <c r="A266" s="8"/>
      <c r="B266" s="9"/>
      <c r="C266" s="9"/>
      <c r="D266" s="10" t="s">
        <v>1058</v>
      </c>
      <c r="E266" s="9"/>
      <c r="F266" s="11"/>
      <c r="G266" s="11"/>
      <c r="H266" s="9"/>
      <c r="I266" s="15"/>
      <c r="J266" s="17"/>
      <c r="K266" s="17"/>
      <c r="L266" s="9"/>
    </row>
    <row r="267" ht="46" spans="1:12">
      <c r="A267" s="8"/>
      <c r="B267" s="9"/>
      <c r="C267" s="9"/>
      <c r="D267" s="10" t="s">
        <v>1059</v>
      </c>
      <c r="E267" s="9"/>
      <c r="F267" s="11"/>
      <c r="G267" s="11"/>
      <c r="H267" s="9"/>
      <c r="I267" s="15"/>
      <c r="J267" s="17"/>
      <c r="K267" s="17"/>
      <c r="L267" s="9"/>
    </row>
    <row r="268" ht="23" spans="1:12">
      <c r="A268" s="8" t="s">
        <v>1060</v>
      </c>
      <c r="B268" s="9" t="s">
        <v>1061</v>
      </c>
      <c r="C268" s="9" t="s">
        <v>1062</v>
      </c>
      <c r="D268" s="9" t="s">
        <v>1063</v>
      </c>
      <c r="E268" s="9" t="s">
        <v>307</v>
      </c>
      <c r="F268" s="11" t="s">
        <v>35</v>
      </c>
      <c r="G268" s="11" t="s">
        <v>36</v>
      </c>
      <c r="H268" s="9" t="s">
        <v>42</v>
      </c>
      <c r="I268" s="15">
        <v>1</v>
      </c>
      <c r="J268" s="17">
        <f>[1]Detail!M268+[1]Detail!N268</f>
        <v>267332</v>
      </c>
      <c r="K268" s="17">
        <f>J268*[1]Detail!I268</f>
        <v>267332</v>
      </c>
      <c r="L268" s="9"/>
    </row>
    <row r="269" ht="23" spans="1:12">
      <c r="A269" s="8" t="s">
        <v>1064</v>
      </c>
      <c r="B269" s="9" t="s">
        <v>1065</v>
      </c>
      <c r="C269" s="9" t="s">
        <v>1066</v>
      </c>
      <c r="D269" s="9" t="s">
        <v>1067</v>
      </c>
      <c r="E269" s="9" t="s">
        <v>1068</v>
      </c>
      <c r="F269" s="11" t="s">
        <v>54</v>
      </c>
      <c r="G269" s="11" t="s">
        <v>20</v>
      </c>
      <c r="H269" s="9" t="s">
        <v>42</v>
      </c>
      <c r="I269" s="15">
        <v>1</v>
      </c>
      <c r="J269" s="17">
        <f>[1]Detail!M269+[1]Detail!N269</f>
        <v>88842</v>
      </c>
      <c r="K269" s="17">
        <f>J269*[1]Detail!I269</f>
        <v>88842</v>
      </c>
      <c r="L269" s="9"/>
    </row>
    <row r="270" ht="23" spans="1:12">
      <c r="A270" s="8" t="s">
        <v>1069</v>
      </c>
      <c r="B270" s="9" t="s">
        <v>1070</v>
      </c>
      <c r="C270" s="9" t="s">
        <v>1071</v>
      </c>
      <c r="D270" s="9" t="s">
        <v>1072</v>
      </c>
      <c r="E270" s="9" t="s">
        <v>1073</v>
      </c>
      <c r="F270" s="11" t="s">
        <v>19</v>
      </c>
      <c r="G270" s="11" t="s">
        <v>36</v>
      </c>
      <c r="H270" s="9" t="s">
        <v>42</v>
      </c>
      <c r="I270" s="15">
        <v>1</v>
      </c>
      <c r="J270" s="17">
        <f>[1]Detail!M270+[1]Detail!N270</f>
        <v>153530</v>
      </c>
      <c r="K270" s="17">
        <f>J270*[1]Detail!I270</f>
        <v>153530</v>
      </c>
      <c r="L270" s="9"/>
    </row>
    <row r="271" ht="57.5" spans="1:12">
      <c r="A271" s="8" t="s">
        <v>1074</v>
      </c>
      <c r="B271" s="9" t="s">
        <v>1075</v>
      </c>
      <c r="C271" s="9" t="s">
        <v>1076</v>
      </c>
      <c r="D271" s="9" t="s">
        <v>1077</v>
      </c>
      <c r="E271" s="9" t="s">
        <v>585</v>
      </c>
      <c r="F271" s="11" t="s">
        <v>54</v>
      </c>
      <c r="G271" s="11" t="s">
        <v>36</v>
      </c>
      <c r="H271" s="9" t="s">
        <v>42</v>
      </c>
      <c r="I271" s="15">
        <v>1</v>
      </c>
      <c r="J271" s="17">
        <f>[1]Detail!M271+[1]Detail!N271</f>
        <v>140998</v>
      </c>
      <c r="K271" s="17">
        <f>J271*[1]Detail!I271</f>
        <v>140998</v>
      </c>
      <c r="L271" s="9"/>
    </row>
    <row r="272" ht="34.5" spans="1:12">
      <c r="A272" s="8" t="s">
        <v>1078</v>
      </c>
      <c r="B272" s="9" t="s">
        <v>1079</v>
      </c>
      <c r="C272" s="9" t="s">
        <v>1080</v>
      </c>
      <c r="D272" s="9" t="s">
        <v>1081</v>
      </c>
      <c r="E272" s="9" t="s">
        <v>1082</v>
      </c>
      <c r="F272" s="11" t="s">
        <v>54</v>
      </c>
      <c r="G272" s="11" t="s">
        <v>20</v>
      </c>
      <c r="H272" s="9" t="s">
        <v>42</v>
      </c>
      <c r="I272" s="15">
        <v>1</v>
      </c>
      <c r="J272" s="17">
        <f>[1]Detail!M272+[1]Detail!N272</f>
        <v>120432</v>
      </c>
      <c r="K272" s="17">
        <f>J272*[1]Detail!I272</f>
        <v>120432</v>
      </c>
      <c r="L272" s="9"/>
    </row>
    <row r="273" ht="23" spans="1:12">
      <c r="A273" s="8" t="s">
        <v>1083</v>
      </c>
      <c r="B273" s="9" t="s">
        <v>1084</v>
      </c>
      <c r="C273" s="9" t="s">
        <v>1085</v>
      </c>
      <c r="D273" s="9" t="s">
        <v>1086</v>
      </c>
      <c r="E273" s="9" t="s">
        <v>1087</v>
      </c>
      <c r="F273" s="11" t="s">
        <v>54</v>
      </c>
      <c r="G273" s="11" t="s">
        <v>36</v>
      </c>
      <c r="H273" s="9" t="s">
        <v>42</v>
      </c>
      <c r="I273" s="15">
        <v>1</v>
      </c>
      <c r="J273" s="17">
        <f>[1]Detail!M273+[1]Detail!N273</f>
        <v>40092</v>
      </c>
      <c r="K273" s="17">
        <f>J273*[1]Detail!I273</f>
        <v>40092</v>
      </c>
      <c r="L273" s="9"/>
    </row>
    <row r="274" ht="23" spans="1:12">
      <c r="A274" s="8" t="s">
        <v>1088</v>
      </c>
      <c r="B274" s="9" t="s">
        <v>1089</v>
      </c>
      <c r="C274" s="9" t="s">
        <v>1090</v>
      </c>
      <c r="D274" s="9" t="s">
        <v>1091</v>
      </c>
      <c r="E274" s="9" t="s">
        <v>1092</v>
      </c>
      <c r="F274" s="11" t="s">
        <v>19</v>
      </c>
      <c r="G274" s="11" t="s">
        <v>41</v>
      </c>
      <c r="H274" s="9" t="s">
        <v>42</v>
      </c>
      <c r="I274" s="15">
        <v>1</v>
      </c>
      <c r="J274" s="17">
        <f>[1]Detail!M274+[1]Detail!N274</f>
        <v>118482</v>
      </c>
      <c r="K274" s="17">
        <f>J274*[1]Detail!I274</f>
        <v>118482</v>
      </c>
      <c r="L274" s="9"/>
    </row>
    <row r="275" ht="23" spans="1:12">
      <c r="A275" s="8" t="s">
        <v>1093</v>
      </c>
      <c r="B275" s="9" t="s">
        <v>1094</v>
      </c>
      <c r="C275" s="9" t="s">
        <v>1095</v>
      </c>
      <c r="D275" s="9" t="s">
        <v>1096</v>
      </c>
      <c r="E275" s="9" t="s">
        <v>606</v>
      </c>
      <c r="F275" s="11" t="s">
        <v>54</v>
      </c>
      <c r="G275" s="11" t="s">
        <v>20</v>
      </c>
      <c r="H275" s="9" t="s">
        <v>42</v>
      </c>
      <c r="I275" s="15">
        <v>1</v>
      </c>
      <c r="J275" s="17">
        <f>[1]Detail!M275+[1]Detail!N275</f>
        <v>61958</v>
      </c>
      <c r="K275" s="17">
        <f>J275*[1]Detail!I275</f>
        <v>61958</v>
      </c>
      <c r="L275" s="9"/>
    </row>
    <row r="276" ht="34.5" spans="1:12">
      <c r="A276" s="8" t="s">
        <v>1097</v>
      </c>
      <c r="B276" s="9" t="s">
        <v>1098</v>
      </c>
      <c r="C276" s="9" t="s">
        <v>1099</v>
      </c>
      <c r="D276" s="9" t="s">
        <v>1100</v>
      </c>
      <c r="E276" s="9" t="s">
        <v>76</v>
      </c>
      <c r="F276" s="11" t="s">
        <v>54</v>
      </c>
      <c r="G276" s="11" t="s">
        <v>41</v>
      </c>
      <c r="H276" s="9" t="s">
        <v>42</v>
      </c>
      <c r="I276" s="15">
        <v>1</v>
      </c>
      <c r="J276" s="17">
        <f>[1]Detail!M276+[1]Detail!N276</f>
        <v>155688</v>
      </c>
      <c r="K276" s="17">
        <f>J276*[1]Detail!I276</f>
        <v>155688</v>
      </c>
      <c r="L276" s="9"/>
    </row>
    <row r="277" ht="23" spans="1:12">
      <c r="A277" s="8" t="s">
        <v>1101</v>
      </c>
      <c r="B277" s="9" t="s">
        <v>1102</v>
      </c>
      <c r="C277" s="9" t="s">
        <v>1085</v>
      </c>
      <c r="D277" s="9" t="s">
        <v>1103</v>
      </c>
      <c r="E277" s="9" t="s">
        <v>1104</v>
      </c>
      <c r="F277" s="11" t="s">
        <v>54</v>
      </c>
      <c r="G277" s="11" t="s">
        <v>36</v>
      </c>
      <c r="H277" s="9" t="s">
        <v>42</v>
      </c>
      <c r="I277" s="15">
        <v>1</v>
      </c>
      <c r="J277" s="17">
        <f>[1]Detail!M277+[1]Detail!N277</f>
        <v>27404</v>
      </c>
      <c r="K277" s="17">
        <f>J277*[1]Detail!I277</f>
        <v>27404</v>
      </c>
      <c r="L277" s="9"/>
    </row>
    <row r="278" ht="34.5" spans="1:12">
      <c r="A278" s="8" t="s">
        <v>1105</v>
      </c>
      <c r="B278" s="9" t="s">
        <v>1106</v>
      </c>
      <c r="C278" s="9" t="s">
        <v>1107</v>
      </c>
      <c r="D278" s="9" t="s">
        <v>1108</v>
      </c>
      <c r="E278" s="9" t="s">
        <v>179</v>
      </c>
      <c r="F278" s="11" t="s">
        <v>162</v>
      </c>
      <c r="G278" s="11" t="s">
        <v>41</v>
      </c>
      <c r="H278" s="9" t="s">
        <v>21</v>
      </c>
      <c r="I278" s="15">
        <v>1</v>
      </c>
      <c r="J278" s="17">
        <f>[1]Detail!M278+[1]Detail!N278</f>
        <v>161564</v>
      </c>
      <c r="K278" s="17">
        <f>J278*[1]Detail!I278</f>
        <v>161564</v>
      </c>
      <c r="L278" s="9"/>
    </row>
    <row r="279" ht="23" spans="1:12">
      <c r="A279" s="8" t="s">
        <v>1109</v>
      </c>
      <c r="B279" s="9" t="s">
        <v>1110</v>
      </c>
      <c r="C279" s="9" t="s">
        <v>1111</v>
      </c>
      <c r="D279" s="9" t="s">
        <v>1112</v>
      </c>
      <c r="E279" s="9" t="s">
        <v>1113</v>
      </c>
      <c r="F279" s="11" t="s">
        <v>19</v>
      </c>
      <c r="G279" s="11" t="s">
        <v>20</v>
      </c>
      <c r="H279" s="9" t="s">
        <v>42</v>
      </c>
      <c r="I279" s="15">
        <v>1</v>
      </c>
      <c r="J279" s="17">
        <f>[1]Detail!M279+[1]Detail!N279</f>
        <v>197392</v>
      </c>
      <c r="K279" s="17">
        <f>J279*[1]Detail!I279</f>
        <v>197392</v>
      </c>
      <c r="L279" s="9"/>
    </row>
    <row r="280" ht="23" spans="1:12">
      <c r="A280" s="8" t="s">
        <v>1114</v>
      </c>
      <c r="B280" s="9" t="s">
        <v>1115</v>
      </c>
      <c r="C280" s="9" t="s">
        <v>1116</v>
      </c>
      <c r="D280" s="9" t="s">
        <v>1117</v>
      </c>
      <c r="E280" s="9" t="s">
        <v>1087</v>
      </c>
      <c r="F280" s="11" t="s">
        <v>54</v>
      </c>
      <c r="G280" s="11" t="s">
        <v>20</v>
      </c>
      <c r="H280" s="9" t="s">
        <v>42</v>
      </c>
      <c r="I280" s="15">
        <v>1</v>
      </c>
      <c r="J280" s="17">
        <f>[1]Detail!M280+[1]Detail!N280</f>
        <v>46254</v>
      </c>
      <c r="K280" s="17">
        <f>J280*[1]Detail!I280</f>
        <v>46254</v>
      </c>
      <c r="L280" s="9"/>
    </row>
    <row r="281" ht="23" spans="1:12">
      <c r="A281" s="8" t="s">
        <v>1118</v>
      </c>
      <c r="B281" s="9" t="s">
        <v>1119</v>
      </c>
      <c r="C281" s="9" t="s">
        <v>1116</v>
      </c>
      <c r="D281" s="9" t="s">
        <v>1120</v>
      </c>
      <c r="E281" s="9" t="s">
        <v>1087</v>
      </c>
      <c r="F281" s="11" t="s">
        <v>54</v>
      </c>
      <c r="G281" s="11" t="s">
        <v>20</v>
      </c>
      <c r="H281" s="9" t="s">
        <v>42</v>
      </c>
      <c r="I281" s="15">
        <v>1</v>
      </c>
      <c r="J281" s="17">
        <f>[1]Detail!M281+[1]Detail!N281</f>
        <v>46254</v>
      </c>
      <c r="K281" s="17">
        <f>J281*[1]Detail!I281</f>
        <v>46254</v>
      </c>
      <c r="L281" s="9"/>
    </row>
    <row r="282" ht="34.5" spans="1:12">
      <c r="A282" s="8" t="s">
        <v>1121</v>
      </c>
      <c r="B282" s="9" t="s">
        <v>1122</v>
      </c>
      <c r="C282" s="9" t="s">
        <v>1123</v>
      </c>
      <c r="D282" s="9" t="s">
        <v>1124</v>
      </c>
      <c r="E282" s="9" t="s">
        <v>1125</v>
      </c>
      <c r="F282" s="11" t="s">
        <v>19</v>
      </c>
      <c r="G282" s="11" t="s">
        <v>36</v>
      </c>
      <c r="H282" s="9" t="s">
        <v>42</v>
      </c>
      <c r="I282" s="15">
        <v>1</v>
      </c>
      <c r="J282" s="17">
        <f>[1]Detail!M282+[1]Detail!N282</f>
        <v>127504</v>
      </c>
      <c r="K282" s="17">
        <f>J282*[1]Detail!I282</f>
        <v>127504</v>
      </c>
      <c r="L282" s="9"/>
    </row>
    <row r="283" ht="34.5" spans="1:12">
      <c r="A283" s="8" t="s">
        <v>1126</v>
      </c>
      <c r="B283" s="9" t="s">
        <v>1127</v>
      </c>
      <c r="C283" s="9" t="s">
        <v>1123</v>
      </c>
      <c r="D283" s="9" t="s">
        <v>1128</v>
      </c>
      <c r="E283" s="9" t="s">
        <v>1129</v>
      </c>
      <c r="F283" s="11" t="s">
        <v>19</v>
      </c>
      <c r="G283" s="11" t="s">
        <v>20</v>
      </c>
      <c r="H283" s="9" t="s">
        <v>42</v>
      </c>
      <c r="I283" s="15">
        <v>1</v>
      </c>
      <c r="J283" s="17">
        <f>[1]Detail!M283+[1]Detail!N283</f>
        <v>158626</v>
      </c>
      <c r="K283" s="17">
        <f>J283*[1]Detail!I283</f>
        <v>158626</v>
      </c>
      <c r="L283" s="9"/>
    </row>
    <row r="284" ht="23" spans="1:12">
      <c r="A284" s="8" t="s">
        <v>1130</v>
      </c>
      <c r="B284" s="9" t="s">
        <v>1131</v>
      </c>
      <c r="C284" s="9" t="s">
        <v>1132</v>
      </c>
      <c r="D284" s="9" t="s">
        <v>1133</v>
      </c>
      <c r="E284" s="9" t="s">
        <v>1134</v>
      </c>
      <c r="F284" s="11" t="s">
        <v>1135</v>
      </c>
      <c r="G284" s="11" t="s">
        <v>20</v>
      </c>
      <c r="H284" s="9" t="s">
        <v>42</v>
      </c>
      <c r="I284" s="15">
        <v>1</v>
      </c>
      <c r="J284" s="17">
        <f>[1]Detail!M284+[1]Detail!N284</f>
        <v>131040</v>
      </c>
      <c r="K284" s="17">
        <f>J284*[1]Detail!I284</f>
        <v>131040</v>
      </c>
      <c r="L284" s="9"/>
    </row>
    <row r="285" ht="23" spans="1:12">
      <c r="A285" s="8" t="s">
        <v>1136</v>
      </c>
      <c r="B285" s="9" t="s">
        <v>1137</v>
      </c>
      <c r="C285" s="9" t="s">
        <v>1138</v>
      </c>
      <c r="D285" s="9" t="s">
        <v>1139</v>
      </c>
      <c r="E285" s="9" t="s">
        <v>1134</v>
      </c>
      <c r="F285" s="11" t="s">
        <v>1135</v>
      </c>
      <c r="G285" s="11" t="s">
        <v>20</v>
      </c>
      <c r="H285" s="9" t="s">
        <v>42</v>
      </c>
      <c r="I285" s="15">
        <v>1</v>
      </c>
      <c r="J285" s="17">
        <f>[1]Detail!M285+[1]Detail!N285</f>
        <v>131040</v>
      </c>
      <c r="K285" s="17">
        <f>J285*[1]Detail!I285</f>
        <v>131040</v>
      </c>
      <c r="L285" s="9"/>
    </row>
    <row r="286" ht="23" spans="1:12">
      <c r="A286" s="8" t="s">
        <v>1140</v>
      </c>
      <c r="B286" s="9" t="s">
        <v>1141</v>
      </c>
      <c r="C286" s="9" t="s">
        <v>1142</v>
      </c>
      <c r="D286" s="9" t="s">
        <v>1143</v>
      </c>
      <c r="E286" s="9" t="s">
        <v>1113</v>
      </c>
      <c r="F286" s="11" t="s">
        <v>19</v>
      </c>
      <c r="G286" s="11" t="s">
        <v>36</v>
      </c>
      <c r="H286" s="9" t="s">
        <v>42</v>
      </c>
      <c r="I286" s="15">
        <v>1</v>
      </c>
      <c r="J286" s="17">
        <f>[1]Detail!M286+[1]Detail!N286</f>
        <v>156260</v>
      </c>
      <c r="K286" s="17">
        <f>J286*[1]Detail!I286</f>
        <v>156260</v>
      </c>
      <c r="L286" s="9"/>
    </row>
    <row r="287" ht="34.5" spans="1:12">
      <c r="A287" s="8" t="s">
        <v>1144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1" t="s">
        <v>19</v>
      </c>
      <c r="G287" s="11" t="s">
        <v>20</v>
      </c>
      <c r="H287" s="9" t="s">
        <v>42</v>
      </c>
      <c r="I287" s="15">
        <v>1</v>
      </c>
      <c r="J287" s="17">
        <f>[1]Detail!M287+[1]Detail!N287</f>
        <v>205530</v>
      </c>
      <c r="K287" s="17">
        <f>J287*[1]Detail!I287</f>
        <v>205530</v>
      </c>
      <c r="L287" s="9"/>
    </row>
    <row r="288" ht="23" spans="1:12">
      <c r="A288" s="8" t="s">
        <v>1149</v>
      </c>
      <c r="B288" s="9" t="s">
        <v>1150</v>
      </c>
      <c r="C288" s="9" t="s">
        <v>1151</v>
      </c>
      <c r="D288" s="9" t="s">
        <v>1152</v>
      </c>
      <c r="E288" s="9" t="s">
        <v>1153</v>
      </c>
      <c r="F288" s="11" t="s">
        <v>54</v>
      </c>
      <c r="G288" s="11" t="s">
        <v>41</v>
      </c>
      <c r="H288" s="9" t="s">
        <v>21</v>
      </c>
      <c r="I288" s="15">
        <v>1</v>
      </c>
      <c r="J288" s="17">
        <f>[1]Detail!M288+[1]Detail!N288</f>
        <v>399386</v>
      </c>
      <c r="K288" s="17">
        <f>J288*[1]Detail!I288</f>
        <v>399386</v>
      </c>
      <c r="L288" s="9"/>
    </row>
    <row r="289" ht="23" spans="1:12">
      <c r="A289" s="8" t="s">
        <v>1154</v>
      </c>
      <c r="B289" s="9" t="s">
        <v>1155</v>
      </c>
      <c r="C289" s="9" t="s">
        <v>1156</v>
      </c>
      <c r="D289" s="9" t="s">
        <v>1157</v>
      </c>
      <c r="E289" s="9" t="s">
        <v>1134</v>
      </c>
      <c r="F289" s="11" t="s">
        <v>1135</v>
      </c>
      <c r="G289" s="11" t="s">
        <v>20</v>
      </c>
      <c r="H289" s="9" t="s">
        <v>42</v>
      </c>
      <c r="I289" s="15"/>
      <c r="J289" s="17">
        <f>[1]Detail!M289+[1]Detail!N289</f>
        <v>73450</v>
      </c>
      <c r="K289" s="17">
        <f>J289*[1]Detail!I289</f>
        <v>0</v>
      </c>
      <c r="L289" s="9"/>
    </row>
    <row r="290" ht="23" spans="1:12">
      <c r="A290" s="8" t="s">
        <v>1158</v>
      </c>
      <c r="B290" s="9" t="s">
        <v>1159</v>
      </c>
      <c r="C290" s="9" t="s">
        <v>1160</v>
      </c>
      <c r="D290" s="9" t="s">
        <v>1161</v>
      </c>
      <c r="E290" s="9" t="s">
        <v>606</v>
      </c>
      <c r="F290" s="11" t="s">
        <v>54</v>
      </c>
      <c r="G290" s="11" t="s">
        <v>36</v>
      </c>
      <c r="H290" s="9" t="s">
        <v>21</v>
      </c>
      <c r="I290" s="15">
        <v>1</v>
      </c>
      <c r="J290" s="17">
        <f>[1]Detail!M290+[1]Detail!N290</f>
        <v>161564</v>
      </c>
      <c r="K290" s="17">
        <f>J290*[1]Detail!I290</f>
        <v>161564</v>
      </c>
      <c r="L290" s="9"/>
    </row>
    <row r="291" ht="23" spans="1:12">
      <c r="A291" s="8" t="s">
        <v>1162</v>
      </c>
      <c r="B291" s="9" t="s">
        <v>1163</v>
      </c>
      <c r="C291" s="9" t="s">
        <v>1164</v>
      </c>
      <c r="D291" s="9" t="s">
        <v>1165</v>
      </c>
      <c r="E291" s="9" t="s">
        <v>1068</v>
      </c>
      <c r="F291" s="11" t="s">
        <v>54</v>
      </c>
      <c r="G291" s="11" t="s">
        <v>20</v>
      </c>
      <c r="H291" s="9" t="s">
        <v>42</v>
      </c>
      <c r="I291" s="15">
        <v>1</v>
      </c>
      <c r="J291" s="17">
        <f>[1]Detail!M291+[1]Detail!N291</f>
        <v>67314</v>
      </c>
      <c r="K291" s="17">
        <f>J291*[1]Detail!I291</f>
        <v>67314</v>
      </c>
      <c r="L291" s="9"/>
    </row>
    <row r="292" ht="23" spans="1:12">
      <c r="A292" s="8" t="s">
        <v>1166</v>
      </c>
      <c r="B292" s="9" t="s">
        <v>1167</v>
      </c>
      <c r="C292" s="9" t="s">
        <v>1168</v>
      </c>
      <c r="D292" s="9" t="s">
        <v>1169</v>
      </c>
      <c r="E292" s="9" t="s">
        <v>1113</v>
      </c>
      <c r="F292" s="11" t="s">
        <v>19</v>
      </c>
      <c r="G292" s="11" t="s">
        <v>20</v>
      </c>
      <c r="H292" s="9" t="s">
        <v>42</v>
      </c>
      <c r="I292" s="15">
        <v>1</v>
      </c>
      <c r="J292" s="17">
        <f>[1]Detail!M292+[1]Detail!N292</f>
        <v>156260</v>
      </c>
      <c r="K292" s="17">
        <f>J292*[1]Detail!I292</f>
        <v>156260</v>
      </c>
      <c r="L292" s="9"/>
    </row>
    <row r="293" ht="34.5" spans="1:12">
      <c r="A293" s="8" t="s">
        <v>1170</v>
      </c>
      <c r="B293" s="9" t="s">
        <v>1171</v>
      </c>
      <c r="C293" s="9" t="s">
        <v>1172</v>
      </c>
      <c r="D293" s="9" t="s">
        <v>1173</v>
      </c>
      <c r="E293" s="9" t="s">
        <v>1174</v>
      </c>
      <c r="F293" s="11" t="s">
        <v>19</v>
      </c>
      <c r="G293" s="11" t="s">
        <v>20</v>
      </c>
      <c r="H293" s="9" t="s">
        <v>42</v>
      </c>
      <c r="I293" s="15">
        <v>1</v>
      </c>
      <c r="J293" s="17">
        <f>[1]Detail!M293+[1]Detail!N293</f>
        <v>148096</v>
      </c>
      <c r="K293" s="17">
        <f>J293*[1]Detail!I293</f>
        <v>148096</v>
      </c>
      <c r="L293" s="9"/>
    </row>
    <row r="294" ht="34.5" spans="1:12">
      <c r="A294" s="8" t="s">
        <v>1175</v>
      </c>
      <c r="B294" s="9" t="s">
        <v>1176</v>
      </c>
      <c r="C294" s="9" t="s">
        <v>1177</v>
      </c>
      <c r="D294" s="9" t="s">
        <v>1178</v>
      </c>
      <c r="E294" s="9" t="s">
        <v>585</v>
      </c>
      <c r="F294" s="11" t="s">
        <v>54</v>
      </c>
      <c r="G294" s="11" t="s">
        <v>20</v>
      </c>
      <c r="H294" s="9" t="s">
        <v>42</v>
      </c>
      <c r="I294" s="15">
        <v>1</v>
      </c>
      <c r="J294" s="17">
        <f>[1]Detail!M294+[1]Detail!N294</f>
        <v>140998</v>
      </c>
      <c r="K294" s="17">
        <f>J294*[1]Detail!I294</f>
        <v>140998</v>
      </c>
      <c r="L294" s="9"/>
    </row>
    <row r="295" ht="34.5" spans="1:12">
      <c r="A295" s="8" t="s">
        <v>1179</v>
      </c>
      <c r="B295" s="9" t="s">
        <v>1180</v>
      </c>
      <c r="C295" s="9" t="s">
        <v>1181</v>
      </c>
      <c r="D295" s="9" t="s">
        <v>1182</v>
      </c>
      <c r="E295" s="9" t="s">
        <v>1183</v>
      </c>
      <c r="F295" s="11" t="s">
        <v>19</v>
      </c>
      <c r="G295" s="11" t="s">
        <v>1184</v>
      </c>
      <c r="H295" s="9" t="s">
        <v>21</v>
      </c>
      <c r="I295" s="15">
        <v>1</v>
      </c>
      <c r="J295" s="17">
        <f>[1]Detail!M295+[1]Detail!N295</f>
        <v>267514</v>
      </c>
      <c r="K295" s="17">
        <f>J295*[1]Detail!I295</f>
        <v>267514</v>
      </c>
      <c r="L295" s="9"/>
    </row>
    <row r="296" ht="23" spans="1:12">
      <c r="A296" s="8" t="s">
        <v>1185</v>
      </c>
      <c r="B296" s="9" t="s">
        <v>1186</v>
      </c>
      <c r="C296" s="9" t="s">
        <v>1187</v>
      </c>
      <c r="D296" s="9" t="s">
        <v>1188</v>
      </c>
      <c r="E296" s="9" t="s">
        <v>1113</v>
      </c>
      <c r="F296" s="11" t="s">
        <v>19</v>
      </c>
      <c r="G296" s="11" t="s">
        <v>36</v>
      </c>
      <c r="H296" s="9" t="s">
        <v>42</v>
      </c>
      <c r="I296" s="15">
        <v>1</v>
      </c>
      <c r="J296" s="17">
        <f>[1]Detail!M296+[1]Detail!N296</f>
        <v>156260</v>
      </c>
      <c r="K296" s="17">
        <f>J296*[1]Detail!I296</f>
        <v>156260</v>
      </c>
      <c r="L296" s="9"/>
    </row>
    <row r="297" ht="23" spans="1:12">
      <c r="A297" s="8" t="s">
        <v>1189</v>
      </c>
      <c r="B297" s="9" t="s">
        <v>1190</v>
      </c>
      <c r="C297" s="9" t="s">
        <v>1191</v>
      </c>
      <c r="D297" s="9" t="s">
        <v>1192</v>
      </c>
      <c r="E297" s="9" t="s">
        <v>1113</v>
      </c>
      <c r="F297" s="11" t="s">
        <v>19</v>
      </c>
      <c r="G297" s="11" t="s">
        <v>36</v>
      </c>
      <c r="H297" s="9" t="s">
        <v>42</v>
      </c>
      <c r="I297" s="15">
        <v>1</v>
      </c>
      <c r="J297" s="17">
        <f>[1]Detail!M297+[1]Detail!N297</f>
        <v>131586</v>
      </c>
      <c r="K297" s="17">
        <f>J297*[1]Detail!I297</f>
        <v>131586</v>
      </c>
      <c r="L297" s="9"/>
    </row>
    <row r="298" ht="23" spans="1:12">
      <c r="A298" s="8" t="s">
        <v>1193</v>
      </c>
      <c r="B298" s="9" t="s">
        <v>1194</v>
      </c>
      <c r="C298" s="9" t="s">
        <v>1195</v>
      </c>
      <c r="D298" s="9" t="s">
        <v>1196</v>
      </c>
      <c r="E298" s="9" t="s">
        <v>585</v>
      </c>
      <c r="F298" s="11" t="s">
        <v>54</v>
      </c>
      <c r="G298" s="11" t="s">
        <v>36</v>
      </c>
      <c r="H298" s="9" t="s">
        <v>21</v>
      </c>
      <c r="I298" s="15">
        <v>1</v>
      </c>
      <c r="J298" s="17">
        <f>[1]Detail!M298+[1]Detail!N298</f>
        <v>240864</v>
      </c>
      <c r="K298" s="17">
        <f>J298*[1]Detail!I298</f>
        <v>240864</v>
      </c>
      <c r="L298" s="9"/>
    </row>
    <row r="299" ht="23" spans="1:12">
      <c r="A299" s="8" t="s">
        <v>1197</v>
      </c>
      <c r="B299" s="9" t="s">
        <v>1198</v>
      </c>
      <c r="C299" s="9" t="s">
        <v>1116</v>
      </c>
      <c r="D299" s="9" t="s">
        <v>1199</v>
      </c>
      <c r="E299" s="9" t="s">
        <v>1087</v>
      </c>
      <c r="F299" s="11" t="s">
        <v>54</v>
      </c>
      <c r="G299" s="11" t="s">
        <v>20</v>
      </c>
      <c r="H299" s="9" t="s">
        <v>42</v>
      </c>
      <c r="I299" s="15">
        <v>1</v>
      </c>
      <c r="J299" s="17">
        <f>[1]Detail!M299+[1]Detail!N299</f>
        <v>61672</v>
      </c>
      <c r="K299" s="17">
        <f>J299*[1]Detail!I299</f>
        <v>61672</v>
      </c>
      <c r="L299" s="9"/>
    </row>
    <row r="300" ht="34.5" spans="1:12">
      <c r="A300" s="8" t="s">
        <v>1200</v>
      </c>
      <c r="B300" s="9" t="s">
        <v>1201</v>
      </c>
      <c r="C300" s="9" t="s">
        <v>1202</v>
      </c>
      <c r="D300" s="9" t="s">
        <v>1203</v>
      </c>
      <c r="E300" s="9" t="s">
        <v>1148</v>
      </c>
      <c r="F300" s="11" t="s">
        <v>19</v>
      </c>
      <c r="G300" s="11" t="s">
        <v>36</v>
      </c>
      <c r="H300" s="9" t="s">
        <v>42</v>
      </c>
      <c r="I300" s="15">
        <v>1</v>
      </c>
      <c r="J300" s="17">
        <f>[1]Detail!M300+[1]Detail!N300</f>
        <v>281528</v>
      </c>
      <c r="K300" s="17">
        <f>J300*[1]Detail!I300</f>
        <v>281528</v>
      </c>
      <c r="L300" s="9"/>
    </row>
    <row r="301" ht="23" spans="1:12">
      <c r="A301" s="8" t="s">
        <v>1204</v>
      </c>
      <c r="B301" s="9" t="s">
        <v>1205</v>
      </c>
      <c r="C301" s="9" t="s">
        <v>1206</v>
      </c>
      <c r="D301" s="9" t="s">
        <v>1207</v>
      </c>
      <c r="E301" s="9" t="s">
        <v>267</v>
      </c>
      <c r="F301" s="11" t="s">
        <v>19</v>
      </c>
      <c r="G301" s="11" t="s">
        <v>36</v>
      </c>
      <c r="H301" s="9" t="s">
        <v>42</v>
      </c>
      <c r="I301" s="15">
        <v>1</v>
      </c>
      <c r="J301" s="17">
        <f>[1]Detail!M301+[1]Detail!N301</f>
        <v>243698</v>
      </c>
      <c r="K301" s="17">
        <f>J301*[1]Detail!I301</f>
        <v>243698</v>
      </c>
      <c r="L301" s="9"/>
    </row>
    <row r="302" ht="23" spans="1:12">
      <c r="A302" s="8" t="s">
        <v>1208</v>
      </c>
      <c r="B302" s="9" t="s">
        <v>1209</v>
      </c>
      <c r="C302" s="9" t="s">
        <v>1210</v>
      </c>
      <c r="D302" s="9" t="s">
        <v>1211</v>
      </c>
      <c r="E302" s="9" t="s">
        <v>1212</v>
      </c>
      <c r="F302" s="11" t="s">
        <v>19</v>
      </c>
      <c r="G302" s="11" t="s">
        <v>36</v>
      </c>
      <c r="H302" s="9" t="s">
        <v>42</v>
      </c>
      <c r="I302" s="15">
        <v>1</v>
      </c>
      <c r="J302" s="17">
        <f>[1]Detail!M302+[1]Detail!N302</f>
        <v>135122</v>
      </c>
      <c r="K302" s="17">
        <f>J302*[1]Detail!I302</f>
        <v>135122</v>
      </c>
      <c r="L302" s="9"/>
    </row>
    <row r="303" ht="23" spans="1:12">
      <c r="A303" s="8" t="s">
        <v>1213</v>
      </c>
      <c r="B303" s="9" t="s">
        <v>1214</v>
      </c>
      <c r="C303" s="9" t="s">
        <v>1215</v>
      </c>
      <c r="D303" s="9" t="s">
        <v>1216</v>
      </c>
      <c r="E303" s="9" t="s">
        <v>1212</v>
      </c>
      <c r="F303" s="11" t="s">
        <v>19</v>
      </c>
      <c r="G303" s="11" t="s">
        <v>36</v>
      </c>
      <c r="H303" s="9" t="s">
        <v>21</v>
      </c>
      <c r="I303" s="15">
        <v>1</v>
      </c>
      <c r="J303" s="17">
        <f>[1]Detail!M303+[1]Detail!N303</f>
        <v>114556</v>
      </c>
      <c r="K303" s="17">
        <f>J303*[1]Detail!I303</f>
        <v>114556</v>
      </c>
      <c r="L303" s="9"/>
    </row>
    <row r="304" ht="34.5" spans="1:12">
      <c r="A304" s="8" t="s">
        <v>1217</v>
      </c>
      <c r="B304" s="9" t="s">
        <v>1218</v>
      </c>
      <c r="C304" s="9" t="s">
        <v>1219</v>
      </c>
      <c r="D304" s="9" t="s">
        <v>1220</v>
      </c>
      <c r="E304" s="9" t="s">
        <v>179</v>
      </c>
      <c r="F304" s="11" t="s">
        <v>162</v>
      </c>
      <c r="G304" s="11" t="s">
        <v>36</v>
      </c>
      <c r="H304" s="9" t="s">
        <v>21</v>
      </c>
      <c r="I304" s="15">
        <v>1</v>
      </c>
      <c r="J304" s="17">
        <f>[1]Detail!M304+[1]Detail!N304</f>
        <v>242346</v>
      </c>
      <c r="K304" s="17">
        <f>J304*[1]Detail!I304</f>
        <v>242346</v>
      </c>
      <c r="L304" s="9"/>
    </row>
    <row r="305" ht="23" spans="1:12">
      <c r="A305" s="8" t="s">
        <v>1221</v>
      </c>
      <c r="B305" s="9" t="s">
        <v>1222</v>
      </c>
      <c r="C305" s="9" t="s">
        <v>1223</v>
      </c>
      <c r="D305" s="9" t="s">
        <v>1224</v>
      </c>
      <c r="E305" s="9" t="s">
        <v>244</v>
      </c>
      <c r="F305" s="11" t="s">
        <v>162</v>
      </c>
      <c r="G305" s="11" t="s">
        <v>41</v>
      </c>
      <c r="H305" s="9" t="s">
        <v>42</v>
      </c>
      <c r="I305" s="15">
        <v>1</v>
      </c>
      <c r="J305" s="17">
        <f>[1]Detail!M305+[1]Detail!N305</f>
        <v>107692</v>
      </c>
      <c r="K305" s="17">
        <f>J305*[1]Detail!I305</f>
        <v>107692</v>
      </c>
      <c r="L305" s="9"/>
    </row>
    <row r="306" ht="23" spans="1:12">
      <c r="A306" s="8" t="s">
        <v>1225</v>
      </c>
      <c r="B306" s="9" t="s">
        <v>1226</v>
      </c>
      <c r="C306" s="9" t="s">
        <v>1227</v>
      </c>
      <c r="D306" s="9" t="s">
        <v>1228</v>
      </c>
      <c r="E306" s="9" t="s">
        <v>1073</v>
      </c>
      <c r="F306" s="11" t="s">
        <v>19</v>
      </c>
      <c r="G306" s="11" t="s">
        <v>36</v>
      </c>
      <c r="H306" s="9" t="s">
        <v>42</v>
      </c>
      <c r="I306" s="15">
        <v>1</v>
      </c>
      <c r="J306" s="17">
        <f>[1]Detail!M306+[1]Detail!N306</f>
        <v>153530</v>
      </c>
      <c r="K306" s="17">
        <f>J306*[1]Detail!I306</f>
        <v>153530</v>
      </c>
      <c r="L306" s="9"/>
    </row>
    <row r="307" ht="23" spans="1:12">
      <c r="A307" s="8" t="s">
        <v>1229</v>
      </c>
      <c r="B307" s="9" t="s">
        <v>1230</v>
      </c>
      <c r="C307" s="9" t="s">
        <v>1231</v>
      </c>
      <c r="D307" s="9" t="s">
        <v>1232</v>
      </c>
      <c r="E307" s="9" t="s">
        <v>1073</v>
      </c>
      <c r="F307" s="11" t="s">
        <v>19</v>
      </c>
      <c r="G307" s="11" t="s">
        <v>20</v>
      </c>
      <c r="H307" s="9" t="s">
        <v>42</v>
      </c>
      <c r="I307" s="15">
        <v>1</v>
      </c>
      <c r="J307" s="17">
        <f>[1]Detail!M307+[1]Detail!N307</f>
        <v>145314</v>
      </c>
      <c r="K307" s="17">
        <f>J307*[1]Detail!I307</f>
        <v>145314</v>
      </c>
      <c r="L307" s="9"/>
    </row>
    <row r="308" ht="23" spans="1:12">
      <c r="A308" s="8" t="s">
        <v>1233</v>
      </c>
      <c r="B308" s="9" t="s">
        <v>1234</v>
      </c>
      <c r="C308" s="9" t="s">
        <v>1235</v>
      </c>
      <c r="D308" s="9" t="s">
        <v>1236</v>
      </c>
      <c r="E308" s="9" t="s">
        <v>267</v>
      </c>
      <c r="F308" s="11" t="s">
        <v>19</v>
      </c>
      <c r="G308" s="11" t="s">
        <v>20</v>
      </c>
      <c r="H308" s="9" t="s">
        <v>42</v>
      </c>
      <c r="I308" s="15">
        <v>1</v>
      </c>
      <c r="J308" s="17">
        <f>[1]Detail!M308+[1]Detail!N308</f>
        <v>452270</v>
      </c>
      <c r="K308" s="17">
        <f>J308*[1]Detail!I308</f>
        <v>452270</v>
      </c>
      <c r="L308" s="9"/>
    </row>
    <row r="309" ht="23" spans="1:12">
      <c r="A309" s="8" t="s">
        <v>1237</v>
      </c>
      <c r="B309" s="9" t="s">
        <v>1238</v>
      </c>
      <c r="C309" s="9" t="s">
        <v>1239</v>
      </c>
      <c r="D309" s="9" t="s">
        <v>1240</v>
      </c>
      <c r="E309" s="9" t="s">
        <v>1212</v>
      </c>
      <c r="F309" s="11" t="s">
        <v>19</v>
      </c>
      <c r="G309" s="11" t="s">
        <v>20</v>
      </c>
      <c r="H309" s="9" t="s">
        <v>21</v>
      </c>
      <c r="I309" s="15">
        <v>1</v>
      </c>
      <c r="J309" s="17">
        <f>[1]Detail!M309+[1]Detail!N309</f>
        <v>114556</v>
      </c>
      <c r="K309" s="17">
        <f>J309*[1]Detail!I309</f>
        <v>114556</v>
      </c>
      <c r="L309" s="9"/>
    </row>
    <row r="310" ht="23" spans="1:12">
      <c r="A310" s="8" t="s">
        <v>1241</v>
      </c>
      <c r="B310" s="9" t="s">
        <v>1242</v>
      </c>
      <c r="C310" s="9" t="s">
        <v>1243</v>
      </c>
      <c r="D310" s="9" t="s">
        <v>1244</v>
      </c>
      <c r="E310" s="9" t="s">
        <v>1073</v>
      </c>
      <c r="F310" s="11" t="s">
        <v>19</v>
      </c>
      <c r="G310" s="11" t="s">
        <v>36</v>
      </c>
      <c r="H310" s="9" t="s">
        <v>42</v>
      </c>
      <c r="I310" s="15">
        <v>1</v>
      </c>
      <c r="J310" s="17">
        <f>[1]Detail!M310+[1]Detail!N310</f>
        <v>145314</v>
      </c>
      <c r="K310" s="17">
        <f>J310*[1]Detail!I310</f>
        <v>145314</v>
      </c>
      <c r="L310" s="9"/>
    </row>
    <row r="311" spans="1:12">
      <c r="A311" s="8" t="s">
        <v>1245</v>
      </c>
      <c r="B311" s="9" t="s">
        <v>1246</v>
      </c>
      <c r="C311" s="9" t="s">
        <v>1247</v>
      </c>
      <c r="D311" s="9" t="s">
        <v>1248</v>
      </c>
      <c r="E311" s="9" t="s">
        <v>1073</v>
      </c>
      <c r="F311" s="11" t="s">
        <v>19</v>
      </c>
      <c r="G311" s="11" t="s">
        <v>20</v>
      </c>
      <c r="H311" s="9" t="s">
        <v>42</v>
      </c>
      <c r="I311" s="15">
        <v>1</v>
      </c>
      <c r="J311" s="17">
        <f>[1]Detail!M311+[1]Detail!N311</f>
        <v>175474</v>
      </c>
      <c r="K311" s="17">
        <f>J311*[1]Detail!I311</f>
        <v>175474</v>
      </c>
      <c r="L311" s="9"/>
    </row>
    <row r="312" ht="23" spans="1:12">
      <c r="A312" s="8" t="s">
        <v>1249</v>
      </c>
      <c r="B312" s="9" t="s">
        <v>1250</v>
      </c>
      <c r="C312" s="9" t="s">
        <v>1251</v>
      </c>
      <c r="D312" s="9" t="s">
        <v>1252</v>
      </c>
      <c r="E312" s="9" t="s">
        <v>1253</v>
      </c>
      <c r="F312" s="11" t="s">
        <v>54</v>
      </c>
      <c r="G312" s="11" t="s">
        <v>20</v>
      </c>
      <c r="H312" s="9" t="s">
        <v>42</v>
      </c>
      <c r="I312" s="15">
        <v>1</v>
      </c>
      <c r="J312" s="17">
        <f>[1]Detail!M312+[1]Detail!N312</f>
        <v>99658</v>
      </c>
      <c r="K312" s="17">
        <f>J312*[1]Detail!I312</f>
        <v>99658</v>
      </c>
      <c r="L312" s="9"/>
    </row>
    <row r="313" ht="23" spans="1:12">
      <c r="A313" s="8" t="s">
        <v>1254</v>
      </c>
      <c r="B313" s="9" t="s">
        <v>1255</v>
      </c>
      <c r="C313" s="9" t="s">
        <v>1256</v>
      </c>
      <c r="D313" s="9" t="s">
        <v>1257</v>
      </c>
      <c r="E313" s="9" t="s">
        <v>1134</v>
      </c>
      <c r="F313" s="11" t="s">
        <v>1135</v>
      </c>
      <c r="G313" s="11" t="s">
        <v>20</v>
      </c>
      <c r="H313" s="9" t="s">
        <v>42</v>
      </c>
      <c r="I313" s="15">
        <v>1</v>
      </c>
      <c r="J313" s="17">
        <f>[1]Detail!M313+[1]Detail!N313</f>
        <v>131040</v>
      </c>
      <c r="K313" s="17">
        <f>J313*[1]Detail!I313</f>
        <v>131040</v>
      </c>
      <c r="L313" s="9"/>
    </row>
    <row r="314" ht="23" spans="1:12">
      <c r="A314" s="8" t="s">
        <v>1258</v>
      </c>
      <c r="B314" s="9" t="s">
        <v>1259</v>
      </c>
      <c r="C314" s="9" t="s">
        <v>1260</v>
      </c>
      <c r="D314" s="9" t="s">
        <v>1261</v>
      </c>
      <c r="E314" s="9" t="s">
        <v>1113</v>
      </c>
      <c r="F314" s="11" t="s">
        <v>19</v>
      </c>
      <c r="G314" s="11" t="s">
        <v>20</v>
      </c>
      <c r="H314" s="9" t="s">
        <v>42</v>
      </c>
      <c r="I314" s="15">
        <v>1</v>
      </c>
      <c r="J314" s="17">
        <f>[1]Detail!M314+[1]Detail!N314</f>
        <v>123370</v>
      </c>
      <c r="K314" s="17">
        <f>J314*[1]Detail!I314</f>
        <v>123370</v>
      </c>
      <c r="L314" s="9"/>
    </row>
    <row r="315" ht="23" spans="1:12">
      <c r="A315" s="8" t="s">
        <v>1262</v>
      </c>
      <c r="B315" s="9" t="s">
        <v>1263</v>
      </c>
      <c r="C315" s="9" t="s">
        <v>1264</v>
      </c>
      <c r="D315" s="9" t="s">
        <v>1265</v>
      </c>
      <c r="E315" s="9" t="s">
        <v>606</v>
      </c>
      <c r="F315" s="11" t="s">
        <v>54</v>
      </c>
      <c r="G315" s="11" t="s">
        <v>20</v>
      </c>
      <c r="H315" s="9" t="s">
        <v>21</v>
      </c>
      <c r="I315" s="15">
        <v>1</v>
      </c>
      <c r="J315" s="17">
        <f>[1]Detail!M315+[1]Detail!N315</f>
        <v>148096</v>
      </c>
      <c r="K315" s="17">
        <f>J315*[1]Detail!I315</f>
        <v>148096</v>
      </c>
      <c r="L315" s="9"/>
    </row>
    <row r="316" ht="34.5" spans="1:12">
      <c r="A316" s="8" t="s">
        <v>1266</v>
      </c>
      <c r="B316" s="9" t="s">
        <v>1267</v>
      </c>
      <c r="C316" s="9" t="s">
        <v>1268</v>
      </c>
      <c r="D316" s="9" t="s">
        <v>1269</v>
      </c>
      <c r="E316" s="9" t="s">
        <v>356</v>
      </c>
      <c r="F316" s="11" t="s">
        <v>357</v>
      </c>
      <c r="G316" s="11" t="s">
        <v>41</v>
      </c>
      <c r="H316" s="9" t="s">
        <v>42</v>
      </c>
      <c r="I316" s="15">
        <v>1</v>
      </c>
      <c r="J316" s="17">
        <f>[1]Detail!M316+[1]Detail!N316</f>
        <v>94224</v>
      </c>
      <c r="K316" s="17">
        <f>J316*[1]Detail!I316</f>
        <v>94224</v>
      </c>
      <c r="L316" s="9"/>
    </row>
    <row r="317" ht="23" spans="1:12">
      <c r="A317" s="8" t="s">
        <v>1270</v>
      </c>
      <c r="B317" s="9" t="s">
        <v>1271</v>
      </c>
      <c r="C317" s="9" t="s">
        <v>1195</v>
      </c>
      <c r="D317" s="9" t="s">
        <v>1272</v>
      </c>
      <c r="E317" s="9" t="s">
        <v>585</v>
      </c>
      <c r="F317" s="11" t="s">
        <v>54</v>
      </c>
      <c r="G317" s="11" t="s">
        <v>20</v>
      </c>
      <c r="H317" s="9" t="s">
        <v>21</v>
      </c>
      <c r="I317" s="15">
        <v>1</v>
      </c>
      <c r="J317" s="17">
        <f>[1]Detail!M317+[1]Detail!N317</f>
        <v>246740</v>
      </c>
      <c r="K317" s="17">
        <f>J317*[1]Detail!I317</f>
        <v>246740</v>
      </c>
      <c r="L317" s="9"/>
    </row>
    <row r="318" ht="23" spans="1:12">
      <c r="A318" s="8" t="s">
        <v>1273</v>
      </c>
      <c r="B318" s="9" t="s">
        <v>1274</v>
      </c>
      <c r="C318" s="9" t="s">
        <v>1275</v>
      </c>
      <c r="D318" s="9" t="s">
        <v>1276</v>
      </c>
      <c r="E318" s="9" t="s">
        <v>585</v>
      </c>
      <c r="F318" s="11" t="s">
        <v>54</v>
      </c>
      <c r="G318" s="11" t="s">
        <v>20</v>
      </c>
      <c r="H318" s="9" t="s">
        <v>42</v>
      </c>
      <c r="I318" s="15">
        <v>1</v>
      </c>
      <c r="J318" s="17">
        <f>[1]Detail!M318+[1]Detail!N318</f>
        <v>176254</v>
      </c>
      <c r="K318" s="17">
        <f>J318*[1]Detail!I318</f>
        <v>176254</v>
      </c>
      <c r="L318" s="9"/>
    </row>
    <row r="319" ht="23" spans="1:12">
      <c r="A319" s="8" t="s">
        <v>1277</v>
      </c>
      <c r="B319" s="9" t="s">
        <v>1274</v>
      </c>
      <c r="C319" s="9" t="s">
        <v>1275</v>
      </c>
      <c r="D319" s="9" t="s">
        <v>1276</v>
      </c>
      <c r="E319" s="9" t="s">
        <v>585</v>
      </c>
      <c r="F319" s="11" t="s">
        <v>54</v>
      </c>
      <c r="G319" s="11" t="s">
        <v>20</v>
      </c>
      <c r="H319" s="9" t="s">
        <v>42</v>
      </c>
      <c r="I319" s="15">
        <v>1</v>
      </c>
      <c r="J319" s="17">
        <f>[1]Detail!M319+[1]Detail!N319</f>
        <v>176254</v>
      </c>
      <c r="K319" s="17">
        <f>J319*[1]Detail!I319</f>
        <v>176254</v>
      </c>
      <c r="L319" s="9"/>
    </row>
    <row r="320" ht="23" spans="1:12">
      <c r="A320" s="8" t="s">
        <v>1278</v>
      </c>
      <c r="B320" s="9" t="s">
        <v>1279</v>
      </c>
      <c r="C320" s="9" t="s">
        <v>1116</v>
      </c>
      <c r="D320" s="9" t="s">
        <v>1280</v>
      </c>
      <c r="E320" s="9" t="s">
        <v>1087</v>
      </c>
      <c r="F320" s="11" t="s">
        <v>54</v>
      </c>
      <c r="G320" s="11" t="s">
        <v>20</v>
      </c>
      <c r="H320" s="9" t="s">
        <v>42</v>
      </c>
      <c r="I320" s="15">
        <v>1</v>
      </c>
      <c r="J320" s="17">
        <f>[1]Detail!M320+[1]Detail!N320</f>
        <v>61672</v>
      </c>
      <c r="K320" s="17">
        <f>J320*[1]Detail!I320</f>
        <v>61672</v>
      </c>
      <c r="L320" s="9"/>
    </row>
    <row r="321" ht="23" spans="1:12">
      <c r="A321" s="8" t="s">
        <v>1281</v>
      </c>
      <c r="B321" s="9" t="s">
        <v>1282</v>
      </c>
      <c r="C321" s="9" t="s">
        <v>1283</v>
      </c>
      <c r="D321" s="9" t="s">
        <v>1284</v>
      </c>
      <c r="E321" s="9" t="s">
        <v>1073</v>
      </c>
      <c r="F321" s="11" t="s">
        <v>19</v>
      </c>
      <c r="G321" s="11" t="s">
        <v>36</v>
      </c>
      <c r="H321" s="9" t="s">
        <v>42</v>
      </c>
      <c r="I321" s="15">
        <v>1</v>
      </c>
      <c r="J321" s="17">
        <f>[1]Detail!M321+[1]Detail!N321</f>
        <v>175474</v>
      </c>
      <c r="K321" s="17">
        <f>J321*[1]Detail!I321</f>
        <v>175474</v>
      </c>
      <c r="L321" s="9"/>
    </row>
    <row r="322" ht="23" spans="1:12">
      <c r="A322" s="8" t="s">
        <v>1285</v>
      </c>
      <c r="B322" s="9" t="s">
        <v>1286</v>
      </c>
      <c r="C322" s="9" t="s">
        <v>1287</v>
      </c>
      <c r="D322" s="9" t="s">
        <v>1288</v>
      </c>
      <c r="E322" s="9" t="s">
        <v>585</v>
      </c>
      <c r="F322" s="11" t="s">
        <v>54</v>
      </c>
      <c r="G322" s="11" t="s">
        <v>36</v>
      </c>
      <c r="H322" s="9" t="s">
        <v>42</v>
      </c>
      <c r="I322" s="15">
        <v>1</v>
      </c>
      <c r="J322" s="17">
        <f>[1]Detail!M322+[1]Detail!N322</f>
        <v>149812</v>
      </c>
      <c r="K322" s="17">
        <f>J322*[1]Detail!I322</f>
        <v>149812</v>
      </c>
      <c r="L322" s="9"/>
    </row>
    <row r="323" ht="23" spans="1:12">
      <c r="A323" s="8" t="s">
        <v>1289</v>
      </c>
      <c r="B323" s="9" t="s">
        <v>1290</v>
      </c>
      <c r="C323" s="9" t="s">
        <v>1291</v>
      </c>
      <c r="D323" s="9" t="s">
        <v>1292</v>
      </c>
      <c r="E323" s="9" t="s">
        <v>1293</v>
      </c>
      <c r="F323" s="11" t="s">
        <v>54</v>
      </c>
      <c r="G323" s="11" t="s">
        <v>20</v>
      </c>
      <c r="H323" s="9" t="s">
        <v>42</v>
      </c>
      <c r="I323" s="15">
        <v>1</v>
      </c>
      <c r="J323" s="17">
        <f>[1]Detail!M323+[1]Detail!N323</f>
        <v>188396</v>
      </c>
      <c r="K323" s="17">
        <f>J323*[1]Detail!I323</f>
        <v>188396</v>
      </c>
      <c r="L323" s="9"/>
    </row>
    <row r="324" ht="23" spans="1:12">
      <c r="A324" s="8" t="s">
        <v>1294</v>
      </c>
      <c r="B324" s="9" t="s">
        <v>1295</v>
      </c>
      <c r="C324" s="9" t="s">
        <v>1296</v>
      </c>
      <c r="D324" s="9" t="s">
        <v>1297</v>
      </c>
      <c r="E324" s="9" t="s">
        <v>1125</v>
      </c>
      <c r="F324" s="11" t="s">
        <v>19</v>
      </c>
      <c r="G324" s="11" t="s">
        <v>36</v>
      </c>
      <c r="H324" s="9" t="s">
        <v>42</v>
      </c>
      <c r="I324" s="15">
        <v>1</v>
      </c>
      <c r="J324" s="17">
        <f>[1]Detail!M324+[1]Detail!N324</f>
        <v>145314</v>
      </c>
      <c r="K324" s="17">
        <f>J324*[1]Detail!I324</f>
        <v>145314</v>
      </c>
      <c r="L324" s="9"/>
    </row>
    <row r="325" spans="1:12">
      <c r="A325" s="8" t="s">
        <v>1298</v>
      </c>
      <c r="B325" s="9" t="s">
        <v>1299</v>
      </c>
      <c r="C325" s="9" t="s">
        <v>1300</v>
      </c>
      <c r="D325" s="9" t="s">
        <v>1301</v>
      </c>
      <c r="E325" s="9" t="s">
        <v>1302</v>
      </c>
      <c r="F325" s="11" t="s">
        <v>19</v>
      </c>
      <c r="G325" s="11" t="s">
        <v>36</v>
      </c>
      <c r="H325" s="9" t="s">
        <v>42</v>
      </c>
      <c r="I325" s="15">
        <v>1</v>
      </c>
      <c r="J325" s="17">
        <f>[1]Detail!M325+[1]Detail!N325</f>
        <v>99866</v>
      </c>
      <c r="K325" s="17">
        <f>J325*[1]Detail!I325</f>
        <v>99866</v>
      </c>
      <c r="L325" s="9"/>
    </row>
    <row r="326" spans="1:12">
      <c r="A326" s="8" t="s">
        <v>1303</v>
      </c>
      <c r="B326" s="9" t="s">
        <v>1304</v>
      </c>
      <c r="C326" s="9" t="s">
        <v>1305</v>
      </c>
      <c r="D326" s="9" t="s">
        <v>1306</v>
      </c>
      <c r="E326" s="9" t="s">
        <v>1302</v>
      </c>
      <c r="F326" s="11" t="s">
        <v>19</v>
      </c>
      <c r="G326" s="11" t="s">
        <v>36</v>
      </c>
      <c r="H326" s="9" t="s">
        <v>42</v>
      </c>
      <c r="I326" s="15">
        <v>1</v>
      </c>
      <c r="J326" s="17">
        <f>[1]Detail!M326+[1]Detail!N326</f>
        <v>176254</v>
      </c>
      <c r="K326" s="17">
        <f>J326*[1]Detail!I326</f>
        <v>176254</v>
      </c>
      <c r="L326" s="9"/>
    </row>
    <row r="327" ht="23" spans="1:12">
      <c r="A327" s="8" t="s">
        <v>1307</v>
      </c>
      <c r="B327" s="9" t="s">
        <v>1308</v>
      </c>
      <c r="C327" s="9" t="s">
        <v>1309</v>
      </c>
      <c r="D327" s="9" t="s">
        <v>1310</v>
      </c>
      <c r="E327" s="9" t="s">
        <v>606</v>
      </c>
      <c r="F327" s="11" t="s">
        <v>54</v>
      </c>
      <c r="G327" s="11" t="s">
        <v>20</v>
      </c>
      <c r="H327" s="9" t="s">
        <v>21</v>
      </c>
      <c r="I327" s="15">
        <v>1</v>
      </c>
      <c r="J327" s="17">
        <f>[1]Detail!M327+[1]Detail!N327</f>
        <v>161590</v>
      </c>
      <c r="K327" s="17">
        <f>J327*[1]Detail!I327</f>
        <v>161590</v>
      </c>
      <c r="L327" s="9"/>
    </row>
    <row r="328" ht="34.5" spans="1:12">
      <c r="A328" s="8" t="s">
        <v>1311</v>
      </c>
      <c r="B328" s="9" t="s">
        <v>1312</v>
      </c>
      <c r="C328" s="9" t="s">
        <v>1313</v>
      </c>
      <c r="D328" s="9" t="s">
        <v>1314</v>
      </c>
      <c r="E328" s="9" t="s">
        <v>1315</v>
      </c>
      <c r="F328" s="11" t="s">
        <v>19</v>
      </c>
      <c r="G328" s="11" t="s">
        <v>36</v>
      </c>
      <c r="H328" s="9" t="s">
        <v>42</v>
      </c>
      <c r="I328" s="15">
        <v>1</v>
      </c>
      <c r="J328" s="17">
        <f>[1]Detail!M328+[1]Detail!N328</f>
        <v>375544</v>
      </c>
      <c r="K328" s="17">
        <f>J328*[1]Detail!I328</f>
        <v>375544</v>
      </c>
      <c r="L328" s="9"/>
    </row>
    <row r="329" ht="23" spans="1:12">
      <c r="A329" s="8" t="s">
        <v>1316</v>
      </c>
      <c r="B329" s="9" t="s">
        <v>1317</v>
      </c>
      <c r="C329" s="9" t="s">
        <v>1318</v>
      </c>
      <c r="D329" s="9" t="s">
        <v>1319</v>
      </c>
      <c r="E329" s="9" t="s">
        <v>1212</v>
      </c>
      <c r="F329" s="11" t="s">
        <v>19</v>
      </c>
      <c r="G329" s="11" t="s">
        <v>20</v>
      </c>
      <c r="H329" s="9" t="s">
        <v>42</v>
      </c>
      <c r="I329" s="15">
        <v>1</v>
      </c>
      <c r="J329" s="17">
        <f>[1]Detail!M329+[1]Detail!N329</f>
        <v>155688</v>
      </c>
      <c r="K329" s="17">
        <f>J329*[1]Detail!I329</f>
        <v>155688</v>
      </c>
      <c r="L329" s="9"/>
    </row>
    <row r="330" spans="1:12">
      <c r="A330" s="8" t="s">
        <v>1320</v>
      </c>
      <c r="B330" s="9" t="s">
        <v>1321</v>
      </c>
      <c r="C330" s="9" t="s">
        <v>1322</v>
      </c>
      <c r="D330" s="9" t="s">
        <v>1323</v>
      </c>
      <c r="E330" s="9" t="s">
        <v>76</v>
      </c>
      <c r="F330" s="11" t="s">
        <v>54</v>
      </c>
      <c r="G330" s="11" t="s">
        <v>20</v>
      </c>
      <c r="H330" s="9" t="s">
        <v>42</v>
      </c>
      <c r="I330" s="15"/>
      <c r="J330" s="17">
        <f>[1]Detail!M330+[1]Detail!N330</f>
        <v>73424</v>
      </c>
      <c r="K330" s="17">
        <f>J330*[1]Detail!I330</f>
        <v>0</v>
      </c>
      <c r="L330" s="9"/>
    </row>
    <row r="331" ht="23" spans="1:12">
      <c r="A331" s="8" t="s">
        <v>1324</v>
      </c>
      <c r="B331" s="9" t="s">
        <v>1325</v>
      </c>
      <c r="C331" s="9" t="s">
        <v>1326</v>
      </c>
      <c r="D331" s="9" t="s">
        <v>1327</v>
      </c>
      <c r="E331" s="9" t="s">
        <v>76</v>
      </c>
      <c r="F331" s="11" t="s">
        <v>54</v>
      </c>
      <c r="G331" s="11" t="s">
        <v>20</v>
      </c>
      <c r="H331" s="9" t="s">
        <v>42</v>
      </c>
      <c r="I331" s="15">
        <v>1</v>
      </c>
      <c r="J331" s="17">
        <f>[1]Detail!M331+[1]Detail!N331</f>
        <v>155688</v>
      </c>
      <c r="K331" s="17">
        <f>J331*[1]Detail!I331</f>
        <v>155688</v>
      </c>
      <c r="L331" s="9"/>
    </row>
    <row r="332" ht="23" spans="1:12">
      <c r="A332" s="8" t="s">
        <v>1328</v>
      </c>
      <c r="B332" s="9" t="s">
        <v>1329</v>
      </c>
      <c r="C332" s="9" t="s">
        <v>1085</v>
      </c>
      <c r="D332" s="9" t="s">
        <v>1330</v>
      </c>
      <c r="E332" s="9" t="s">
        <v>1087</v>
      </c>
      <c r="F332" s="11" t="s">
        <v>54</v>
      </c>
      <c r="G332" s="11" t="s">
        <v>41</v>
      </c>
      <c r="H332" s="9" t="s">
        <v>42</v>
      </c>
      <c r="I332" s="15">
        <v>1</v>
      </c>
      <c r="J332" s="17">
        <f>[1]Detail!M332+[1]Detail!N332</f>
        <v>61672</v>
      </c>
      <c r="K332" s="17">
        <f>J332*[1]Detail!I332</f>
        <v>61672</v>
      </c>
      <c r="L332" s="9"/>
    </row>
    <row r="333" ht="23" spans="1:12">
      <c r="A333" s="8" t="s">
        <v>1331</v>
      </c>
      <c r="B333" s="9" t="s">
        <v>1332</v>
      </c>
      <c r="C333" s="9" t="s">
        <v>1333</v>
      </c>
      <c r="D333" s="9" t="s">
        <v>1334</v>
      </c>
      <c r="E333" s="9" t="s">
        <v>1113</v>
      </c>
      <c r="F333" s="11" t="s">
        <v>19</v>
      </c>
      <c r="G333" s="11" t="s">
        <v>20</v>
      </c>
      <c r="H333" s="9" t="s">
        <v>42</v>
      </c>
      <c r="I333" s="15">
        <v>1</v>
      </c>
      <c r="J333" s="17">
        <f>[1]Detail!M333+[1]Detail!N333</f>
        <v>246740</v>
      </c>
      <c r="K333" s="17">
        <f>J333*[1]Detail!I333</f>
        <v>246740</v>
      </c>
      <c r="L333" s="9"/>
    </row>
    <row r="334" ht="23" spans="1:12">
      <c r="A334" s="8" t="s">
        <v>1335</v>
      </c>
      <c r="B334" s="9" t="s">
        <v>1336</v>
      </c>
      <c r="C334" s="9" t="s">
        <v>1337</v>
      </c>
      <c r="D334" s="9" t="s">
        <v>1338</v>
      </c>
      <c r="E334" s="9" t="s">
        <v>1113</v>
      </c>
      <c r="F334" s="11" t="s">
        <v>19</v>
      </c>
      <c r="G334" s="11" t="s">
        <v>36</v>
      </c>
      <c r="H334" s="9" t="s">
        <v>42</v>
      </c>
      <c r="I334" s="15">
        <v>1</v>
      </c>
      <c r="J334" s="17">
        <f>[1]Detail!M334+[1]Detail!N334</f>
        <v>183690</v>
      </c>
      <c r="K334" s="17">
        <f>J334*[1]Detail!I334</f>
        <v>183690</v>
      </c>
      <c r="L334" s="9"/>
    </row>
    <row r="335" spans="1:12">
      <c r="A335" s="8"/>
      <c r="B335" s="9"/>
      <c r="C335" s="9"/>
      <c r="D335" s="10" t="s">
        <v>1339</v>
      </c>
      <c r="E335" s="9"/>
      <c r="F335" s="11"/>
      <c r="G335" s="11"/>
      <c r="H335" s="9"/>
      <c r="I335" s="15"/>
      <c r="J335" s="17"/>
      <c r="K335" s="17"/>
      <c r="L335" s="9"/>
    </row>
    <row r="336" ht="46" spans="1:12">
      <c r="A336" s="8"/>
      <c r="B336" s="9"/>
      <c r="C336" s="9"/>
      <c r="D336" s="10" t="s">
        <v>1340</v>
      </c>
      <c r="E336" s="9"/>
      <c r="F336" s="11"/>
      <c r="G336" s="11"/>
      <c r="H336" s="9"/>
      <c r="I336" s="15"/>
      <c r="J336" s="17"/>
      <c r="K336" s="17"/>
      <c r="L336" s="9"/>
    </row>
    <row r="337" ht="23" spans="1:12">
      <c r="A337" s="8" t="s">
        <v>1341</v>
      </c>
      <c r="B337" s="9" t="s">
        <v>1342</v>
      </c>
      <c r="C337" s="9" t="s">
        <v>1343</v>
      </c>
      <c r="D337" s="9" t="s">
        <v>1344</v>
      </c>
      <c r="E337" s="9" t="s">
        <v>606</v>
      </c>
      <c r="F337" s="11" t="s">
        <v>54</v>
      </c>
      <c r="G337" s="11" t="s">
        <v>20</v>
      </c>
      <c r="H337" s="9" t="s">
        <v>42</v>
      </c>
      <c r="I337" s="15">
        <v>1</v>
      </c>
      <c r="J337" s="17">
        <f>[1]Detail!M337+[1]Detail!N337</f>
        <v>107692</v>
      </c>
      <c r="K337" s="17">
        <f>J337*[1]Detail!I337</f>
        <v>107692</v>
      </c>
      <c r="L337" s="9"/>
    </row>
    <row r="338" ht="34.5" spans="1:12">
      <c r="A338" s="8" t="s">
        <v>1345</v>
      </c>
      <c r="B338" s="9" t="s">
        <v>1346</v>
      </c>
      <c r="C338" s="9" t="s">
        <v>1347</v>
      </c>
      <c r="D338" s="9" t="s">
        <v>1348</v>
      </c>
      <c r="E338" s="9" t="s">
        <v>76</v>
      </c>
      <c r="F338" s="11" t="s">
        <v>54</v>
      </c>
      <c r="G338" s="11" t="s">
        <v>20</v>
      </c>
      <c r="H338" s="9" t="s">
        <v>42</v>
      </c>
      <c r="I338" s="15">
        <v>1</v>
      </c>
      <c r="J338" s="17">
        <f>[1]Detail!M338+[1]Detail!N338</f>
        <v>146874</v>
      </c>
      <c r="K338" s="17">
        <f>J338*[1]Detail!I338</f>
        <v>146874</v>
      </c>
      <c r="L338" s="9"/>
    </row>
    <row r="339" ht="23" spans="1:12">
      <c r="A339" s="8" t="s">
        <v>1349</v>
      </c>
      <c r="B339" s="9" t="s">
        <v>1350</v>
      </c>
      <c r="C339" s="9" t="s">
        <v>1351</v>
      </c>
      <c r="D339" s="9" t="s">
        <v>1352</v>
      </c>
      <c r="E339" s="9" t="s">
        <v>76</v>
      </c>
      <c r="F339" s="11" t="s">
        <v>54</v>
      </c>
      <c r="G339" s="11" t="s">
        <v>36</v>
      </c>
      <c r="H339" s="9" t="s">
        <v>42</v>
      </c>
      <c r="I339" s="15">
        <v>1</v>
      </c>
      <c r="J339" s="17">
        <f>[1]Detail!M339+[1]Detail!N339</f>
        <v>246740</v>
      </c>
      <c r="K339" s="17">
        <f>J339*[1]Detail!I339</f>
        <v>246740</v>
      </c>
      <c r="L339" s="9"/>
    </row>
    <row r="340" ht="34.5" spans="1:12">
      <c r="A340" s="8" t="s">
        <v>1353</v>
      </c>
      <c r="B340" s="9" t="s">
        <v>1354</v>
      </c>
      <c r="C340" s="9" t="s">
        <v>1355</v>
      </c>
      <c r="D340" s="9" t="s">
        <v>1356</v>
      </c>
      <c r="E340" s="9" t="s">
        <v>179</v>
      </c>
      <c r="F340" s="11" t="s">
        <v>162</v>
      </c>
      <c r="G340" s="11" t="s">
        <v>20</v>
      </c>
      <c r="H340" s="9" t="s">
        <v>21</v>
      </c>
      <c r="I340" s="15">
        <v>1</v>
      </c>
      <c r="J340" s="17">
        <f>[1]Detail!M340+[1]Detail!N340</f>
        <v>94224</v>
      </c>
      <c r="K340" s="17">
        <f>J340*[1]Detail!I340</f>
        <v>94224</v>
      </c>
      <c r="L340" s="9"/>
    </row>
    <row r="341" ht="34.5" spans="1:12">
      <c r="A341" s="8" t="s">
        <v>1357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1" t="s">
        <v>54</v>
      </c>
      <c r="G341" s="11" t="s">
        <v>41</v>
      </c>
      <c r="H341" s="9" t="s">
        <v>21</v>
      </c>
      <c r="I341" s="15">
        <v>1</v>
      </c>
      <c r="J341" s="17">
        <f>[1]Detail!M341+[1]Detail!N341</f>
        <v>470028</v>
      </c>
      <c r="K341" s="17">
        <f>J341*[1]Detail!I341</f>
        <v>470028</v>
      </c>
      <c r="L341" s="9"/>
    </row>
    <row r="342" ht="34.5" spans="1:12">
      <c r="A342" s="8" t="s">
        <v>1362</v>
      </c>
      <c r="B342" s="9" t="s">
        <v>1363</v>
      </c>
      <c r="C342" s="9" t="s">
        <v>1364</v>
      </c>
      <c r="D342" s="9" t="s">
        <v>1365</v>
      </c>
      <c r="E342" s="9" t="s">
        <v>1366</v>
      </c>
      <c r="F342" s="11" t="s">
        <v>54</v>
      </c>
      <c r="G342" s="11" t="s">
        <v>20</v>
      </c>
      <c r="H342" s="9" t="s">
        <v>42</v>
      </c>
      <c r="I342" s="15">
        <v>1</v>
      </c>
      <c r="J342" s="17">
        <f>[1]Detail!M342+[1]Detail!N342</f>
        <v>155688</v>
      </c>
      <c r="K342" s="17">
        <f>J342*[1]Detail!I342</f>
        <v>155688</v>
      </c>
      <c r="L342" s="9"/>
    </row>
    <row r="343" spans="1:12">
      <c r="A343" s="8" t="s">
        <v>1367</v>
      </c>
      <c r="B343" s="9" t="s">
        <v>1368</v>
      </c>
      <c r="C343" s="9" t="s">
        <v>1369</v>
      </c>
      <c r="D343" s="9" t="s">
        <v>1370</v>
      </c>
      <c r="E343" s="9" t="s">
        <v>1361</v>
      </c>
      <c r="F343" s="11" t="s">
        <v>54</v>
      </c>
      <c r="G343" s="11" t="s">
        <v>20</v>
      </c>
      <c r="H343" s="9" t="s">
        <v>21</v>
      </c>
      <c r="I343" s="15">
        <v>1</v>
      </c>
      <c r="J343" s="17">
        <f>[1]Detail!M343+[1]Detail!N343</f>
        <v>279058</v>
      </c>
      <c r="K343" s="17">
        <f>J343*[1]Detail!I343</f>
        <v>279058</v>
      </c>
      <c r="L343" s="9"/>
    </row>
    <row r="344" ht="34.5" spans="1:12">
      <c r="A344" s="8" t="s">
        <v>1371</v>
      </c>
      <c r="B344" s="9" t="s">
        <v>1372</v>
      </c>
      <c r="C344" s="9" t="s">
        <v>1373</v>
      </c>
      <c r="D344" s="9" t="s">
        <v>1374</v>
      </c>
      <c r="E344" s="9" t="s">
        <v>179</v>
      </c>
      <c r="F344" s="11" t="s">
        <v>162</v>
      </c>
      <c r="G344" s="11" t="s">
        <v>20</v>
      </c>
      <c r="H344" s="9" t="s">
        <v>42</v>
      </c>
      <c r="I344" s="15">
        <v>1</v>
      </c>
      <c r="J344" s="17">
        <f>[1]Detail!M344+[1]Detail!N344</f>
        <v>121160</v>
      </c>
      <c r="K344" s="17">
        <f>J344*[1]Detail!I344</f>
        <v>121160</v>
      </c>
      <c r="L344" s="9"/>
    </row>
    <row r="345" ht="23" spans="1:12">
      <c r="A345" s="8" t="s">
        <v>1375</v>
      </c>
      <c r="B345" s="9" t="s">
        <v>1376</v>
      </c>
      <c r="C345" s="9" t="s">
        <v>1377</v>
      </c>
      <c r="D345" s="9" t="s">
        <v>1378</v>
      </c>
      <c r="E345" s="9" t="s">
        <v>267</v>
      </c>
      <c r="F345" s="11" t="s">
        <v>19</v>
      </c>
      <c r="G345" s="11" t="s">
        <v>20</v>
      </c>
      <c r="H345" s="9" t="s">
        <v>42</v>
      </c>
      <c r="I345" s="15">
        <v>1</v>
      </c>
      <c r="J345" s="17">
        <f>[1]Detail!M345+[1]Detail!N345</f>
        <v>176254</v>
      </c>
      <c r="K345" s="17">
        <f>J345*[1]Detail!I345</f>
        <v>176254</v>
      </c>
      <c r="L345" s="9"/>
    </row>
    <row r="346" spans="1:12">
      <c r="A346" s="8" t="s">
        <v>1379</v>
      </c>
      <c r="B346" s="9" t="s">
        <v>1380</v>
      </c>
      <c r="C346" s="9" t="s">
        <v>1381</v>
      </c>
      <c r="D346" s="9" t="s">
        <v>1382</v>
      </c>
      <c r="E346" s="9" t="s">
        <v>76</v>
      </c>
      <c r="F346" s="11" t="s">
        <v>54</v>
      </c>
      <c r="G346" s="11" t="s">
        <v>20</v>
      </c>
      <c r="H346" s="9" t="s">
        <v>42</v>
      </c>
      <c r="I346" s="15"/>
      <c r="J346" s="17">
        <f>[1]Detail!M346+[1]Detail!N346</f>
        <v>114556</v>
      </c>
      <c r="K346" s="17">
        <f>J346*[1]Detail!I346</f>
        <v>0</v>
      </c>
      <c r="L346" s="9"/>
    </row>
    <row r="347" spans="1:12">
      <c r="A347" s="8" t="s">
        <v>1383</v>
      </c>
      <c r="B347" s="9" t="s">
        <v>1384</v>
      </c>
      <c r="C347" s="9" t="s">
        <v>1381</v>
      </c>
      <c r="D347" s="9" t="s">
        <v>1382</v>
      </c>
      <c r="E347" s="9" t="s">
        <v>76</v>
      </c>
      <c r="F347" s="11" t="s">
        <v>54</v>
      </c>
      <c r="G347" s="11" t="s">
        <v>20</v>
      </c>
      <c r="H347" s="9" t="s">
        <v>21</v>
      </c>
      <c r="I347" s="15"/>
      <c r="J347" s="17">
        <f>[1]Detail!M347+[1]Detail!N347</f>
        <v>367224</v>
      </c>
      <c r="K347" s="17">
        <f>J347*[1]Detail!I347</f>
        <v>0</v>
      </c>
      <c r="L347" s="9"/>
    </row>
    <row r="348" ht="23" spans="1:12">
      <c r="A348" s="8" t="s">
        <v>1385</v>
      </c>
      <c r="B348" s="9" t="s">
        <v>1386</v>
      </c>
      <c r="C348" s="9" t="s">
        <v>1387</v>
      </c>
      <c r="D348" s="9" t="s">
        <v>1388</v>
      </c>
      <c r="E348" s="9" t="s">
        <v>585</v>
      </c>
      <c r="F348" s="11" t="s">
        <v>54</v>
      </c>
      <c r="G348" s="11" t="s">
        <v>36</v>
      </c>
      <c r="H348" s="9" t="s">
        <v>42</v>
      </c>
      <c r="I348" s="15">
        <v>1</v>
      </c>
      <c r="J348" s="17">
        <f>[1]Detail!M348+[1]Detail!N348</f>
        <v>199732</v>
      </c>
      <c r="K348" s="17">
        <f>J348*[1]Detail!I348</f>
        <v>199732</v>
      </c>
      <c r="L348" s="9"/>
    </row>
    <row r="349" ht="57.5" spans="1:12">
      <c r="A349" s="8" t="s">
        <v>1389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1" t="s">
        <v>19</v>
      </c>
      <c r="G349" s="11" t="s">
        <v>41</v>
      </c>
      <c r="H349" s="9" t="s">
        <v>42</v>
      </c>
      <c r="I349" s="15">
        <v>1</v>
      </c>
      <c r="J349" s="17">
        <f>[1]Detail!M349+[1]Detail!N349</f>
        <v>381914</v>
      </c>
      <c r="K349" s="17">
        <f>J349*[1]Detail!I349</f>
        <v>381914</v>
      </c>
      <c r="L349" s="9"/>
    </row>
    <row r="350" ht="23" spans="1:12">
      <c r="A350" s="8" t="s">
        <v>1394</v>
      </c>
      <c r="B350" s="9" t="s">
        <v>1395</v>
      </c>
      <c r="C350" s="9" t="s">
        <v>1396</v>
      </c>
      <c r="D350" s="9" t="s">
        <v>1397</v>
      </c>
      <c r="E350" s="9" t="s">
        <v>457</v>
      </c>
      <c r="F350" s="11" t="s">
        <v>19</v>
      </c>
      <c r="G350" s="11" t="s">
        <v>20</v>
      </c>
      <c r="H350" s="9" t="s">
        <v>21</v>
      </c>
      <c r="I350" s="15">
        <v>1</v>
      </c>
      <c r="J350" s="17">
        <f>[1]Detail!M350+[1]Detail!N350</f>
        <v>228904</v>
      </c>
      <c r="K350" s="17">
        <f>J350*[1]Detail!I350</f>
        <v>228904</v>
      </c>
      <c r="L350" s="9"/>
    </row>
    <row r="351" spans="1:12">
      <c r="A351" s="8" t="s">
        <v>1398</v>
      </c>
      <c r="B351" s="9" t="s">
        <v>1399</v>
      </c>
      <c r="C351" s="9" t="s">
        <v>1400</v>
      </c>
      <c r="D351" s="9" t="s">
        <v>1401</v>
      </c>
      <c r="E351" s="9" t="s">
        <v>76</v>
      </c>
      <c r="F351" s="11" t="s">
        <v>54</v>
      </c>
      <c r="G351" s="11" t="s">
        <v>41</v>
      </c>
      <c r="H351" s="9" t="s">
        <v>42</v>
      </c>
      <c r="I351" s="15"/>
      <c r="J351" s="17">
        <f>[1]Detail!M351+[1]Detail!N351</f>
        <v>167440</v>
      </c>
      <c r="K351" s="17">
        <f>J351*[1]Detail!I351</f>
        <v>0</v>
      </c>
      <c r="L351" s="9"/>
    </row>
    <row r="352" ht="23" spans="1:12">
      <c r="A352" s="8" t="s">
        <v>1402</v>
      </c>
      <c r="B352" s="9" t="s">
        <v>1403</v>
      </c>
      <c r="C352" s="9" t="s">
        <v>1404</v>
      </c>
      <c r="D352" s="9" t="s">
        <v>1405</v>
      </c>
      <c r="E352" s="9" t="s">
        <v>124</v>
      </c>
      <c r="F352" s="11" t="s">
        <v>19</v>
      </c>
      <c r="G352" s="11" t="s">
        <v>36</v>
      </c>
      <c r="H352" s="9" t="s">
        <v>42</v>
      </c>
      <c r="I352" s="15">
        <v>1</v>
      </c>
      <c r="J352" s="17">
        <f>[1]Detail!M352+[1]Detail!N352</f>
        <v>124410</v>
      </c>
      <c r="K352" s="17">
        <f>J352*[1]Detail!I352</f>
        <v>124410</v>
      </c>
      <c r="L352" s="9"/>
    </row>
    <row r="353" ht="34.5" spans="1:12">
      <c r="A353" s="8" t="s">
        <v>1406</v>
      </c>
      <c r="B353" s="9" t="s">
        <v>1407</v>
      </c>
      <c r="C353" s="9" t="s">
        <v>1408</v>
      </c>
      <c r="D353" s="9" t="s">
        <v>1409</v>
      </c>
      <c r="E353" s="9" t="s">
        <v>179</v>
      </c>
      <c r="F353" s="11" t="s">
        <v>162</v>
      </c>
      <c r="G353" s="11" t="s">
        <v>20</v>
      </c>
      <c r="H353" s="9" t="s">
        <v>42</v>
      </c>
      <c r="I353" s="15">
        <v>1</v>
      </c>
      <c r="J353" s="17">
        <f>[1]Detail!M353+[1]Detail!N353</f>
        <v>121160</v>
      </c>
      <c r="K353" s="17">
        <f>J353*[1]Detail!I353</f>
        <v>121160</v>
      </c>
      <c r="L353" s="9"/>
    </row>
    <row r="354" ht="23" spans="1:12">
      <c r="A354" s="8" t="s">
        <v>1410</v>
      </c>
      <c r="B354" s="9" t="s">
        <v>1411</v>
      </c>
      <c r="C354" s="9" t="s">
        <v>1412</v>
      </c>
      <c r="D354" s="9" t="s">
        <v>1413</v>
      </c>
      <c r="E354" s="9" t="s">
        <v>585</v>
      </c>
      <c r="F354" s="11" t="s">
        <v>54</v>
      </c>
      <c r="G354" s="11" t="s">
        <v>20</v>
      </c>
      <c r="H354" s="9" t="s">
        <v>21</v>
      </c>
      <c r="I354" s="15">
        <v>1</v>
      </c>
      <c r="J354" s="17">
        <f>[1]Detail!M354+[1]Detail!N354</f>
        <v>232050</v>
      </c>
      <c r="K354" s="17">
        <f>J354*[1]Detail!I354</f>
        <v>232050</v>
      </c>
      <c r="L354" s="9"/>
    </row>
    <row r="355" ht="23" spans="1:12">
      <c r="A355" s="8" t="s">
        <v>1414</v>
      </c>
      <c r="B355" s="9" t="s">
        <v>1415</v>
      </c>
      <c r="C355" s="9" t="s">
        <v>1416</v>
      </c>
      <c r="D355" s="9" t="s">
        <v>1417</v>
      </c>
      <c r="E355" s="9" t="s">
        <v>606</v>
      </c>
      <c r="F355" s="11" t="s">
        <v>54</v>
      </c>
      <c r="G355" s="11" t="s">
        <v>36</v>
      </c>
      <c r="H355" s="9" t="s">
        <v>21</v>
      </c>
      <c r="I355" s="15">
        <v>1</v>
      </c>
      <c r="J355" s="17">
        <f>[1]Detail!M355+[1]Detail!N355</f>
        <v>134628</v>
      </c>
      <c r="K355" s="17">
        <f>J355*[1]Detail!I355</f>
        <v>134628</v>
      </c>
      <c r="L355" s="9"/>
    </row>
    <row r="356" ht="23" spans="1:12">
      <c r="A356" s="8" t="s">
        <v>1418</v>
      </c>
      <c r="B356" s="9" t="s">
        <v>1419</v>
      </c>
      <c r="C356" s="9" t="s">
        <v>1420</v>
      </c>
      <c r="D356" s="9" t="s">
        <v>1421</v>
      </c>
      <c r="E356" s="9" t="s">
        <v>258</v>
      </c>
      <c r="F356" s="11" t="s">
        <v>19</v>
      </c>
      <c r="G356" s="11" t="s">
        <v>20</v>
      </c>
      <c r="H356" s="9" t="s">
        <v>42</v>
      </c>
      <c r="I356" s="15">
        <v>1</v>
      </c>
      <c r="J356" s="17">
        <f>[1]Detail!M356+[1]Detail!N356</f>
        <v>251394</v>
      </c>
      <c r="K356" s="17">
        <f>J356*[1]Detail!I356</f>
        <v>251394</v>
      </c>
      <c r="L356" s="9"/>
    </row>
    <row r="357" ht="34.5" spans="1:12">
      <c r="A357" s="8" t="s">
        <v>1422</v>
      </c>
      <c r="B357" s="9" t="s">
        <v>1423</v>
      </c>
      <c r="C357" s="9" t="s">
        <v>1424</v>
      </c>
      <c r="D357" s="9" t="s">
        <v>1425</v>
      </c>
      <c r="E357" s="9" t="s">
        <v>76</v>
      </c>
      <c r="F357" s="11" t="s">
        <v>54</v>
      </c>
      <c r="G357" s="11" t="s">
        <v>20</v>
      </c>
      <c r="H357" s="9" t="s">
        <v>42</v>
      </c>
      <c r="I357" s="15">
        <v>1</v>
      </c>
      <c r="J357" s="17">
        <f>[1]Detail!M357+[1]Detail!N357</f>
        <v>146874</v>
      </c>
      <c r="K357" s="17">
        <f>J357*[1]Detail!I357</f>
        <v>146874</v>
      </c>
      <c r="L357" s="9"/>
    </row>
    <row r="358" ht="34.5" spans="1:12">
      <c r="A358" s="8" t="s">
        <v>1426</v>
      </c>
      <c r="B358" s="9" t="s">
        <v>1427</v>
      </c>
      <c r="C358" s="9" t="s">
        <v>1428</v>
      </c>
      <c r="D358" s="9" t="s">
        <v>1429</v>
      </c>
      <c r="E358" s="9" t="s">
        <v>1430</v>
      </c>
      <c r="F358" s="11" t="s">
        <v>48</v>
      </c>
      <c r="G358" s="11" t="s">
        <v>36</v>
      </c>
      <c r="H358" s="9" t="s">
        <v>42</v>
      </c>
      <c r="I358" s="15">
        <v>1</v>
      </c>
      <c r="J358" s="17">
        <f>[1]Detail!M358+[1]Detail!N358</f>
        <v>377000</v>
      </c>
      <c r="K358" s="17">
        <f>J358*[1]Detail!I358</f>
        <v>377000</v>
      </c>
      <c r="L358" s="9"/>
    </row>
    <row r="359" ht="46" spans="1:12">
      <c r="A359" s="8" t="s">
        <v>1431</v>
      </c>
      <c r="B359" s="9" t="s">
        <v>1432</v>
      </c>
      <c r="C359" s="9" t="s">
        <v>1433</v>
      </c>
      <c r="D359" s="9" t="s">
        <v>1434</v>
      </c>
      <c r="E359" s="9" t="s">
        <v>76</v>
      </c>
      <c r="F359" s="11" t="s">
        <v>54</v>
      </c>
      <c r="G359" s="11" t="s">
        <v>41</v>
      </c>
      <c r="H359" s="9" t="s">
        <v>42</v>
      </c>
      <c r="I359" s="15"/>
      <c r="J359" s="17">
        <f>[1]Detail!M359+[1]Detail!N359</f>
        <v>217360</v>
      </c>
      <c r="K359" s="17">
        <f>J359*[1]Detail!I359</f>
        <v>0</v>
      </c>
      <c r="L359" s="9"/>
    </row>
    <row r="360" ht="23" spans="1:12">
      <c r="A360" s="8" t="s">
        <v>1435</v>
      </c>
      <c r="B360" s="9" t="s">
        <v>1436</v>
      </c>
      <c r="C360" s="9" t="s">
        <v>1437</v>
      </c>
      <c r="D360" s="9" t="s">
        <v>1438</v>
      </c>
      <c r="E360" s="9" t="s">
        <v>457</v>
      </c>
      <c r="F360" s="11" t="s">
        <v>19</v>
      </c>
      <c r="G360" s="11" t="s">
        <v>20</v>
      </c>
      <c r="H360" s="9" t="s">
        <v>42</v>
      </c>
      <c r="I360" s="15">
        <v>1</v>
      </c>
      <c r="J360" s="17">
        <f>[1]Detail!M360+[1]Detail!N360</f>
        <v>153504</v>
      </c>
      <c r="K360" s="17">
        <f>J360*[1]Detail!I360</f>
        <v>153504</v>
      </c>
      <c r="L360" s="9"/>
    </row>
    <row r="361" ht="23" spans="1:12">
      <c r="A361" s="8" t="s">
        <v>1439</v>
      </c>
      <c r="B361" s="9" t="s">
        <v>1440</v>
      </c>
      <c r="C361" s="9" t="s">
        <v>1441</v>
      </c>
      <c r="D361" s="9" t="s">
        <v>1442</v>
      </c>
      <c r="E361" s="9" t="s">
        <v>606</v>
      </c>
      <c r="F361" s="11" t="s">
        <v>54</v>
      </c>
      <c r="G361" s="11" t="s">
        <v>36</v>
      </c>
      <c r="H361" s="9" t="s">
        <v>42</v>
      </c>
      <c r="I361" s="15">
        <v>1</v>
      </c>
      <c r="J361" s="17">
        <f>[1]Detail!M361+[1]Detail!N361</f>
        <v>121160</v>
      </c>
      <c r="K361" s="17">
        <f>J361*[1]Detail!I361</f>
        <v>121160</v>
      </c>
      <c r="L361" s="9"/>
    </row>
    <row r="362" ht="23" spans="1:12">
      <c r="A362" s="8" t="s">
        <v>1443</v>
      </c>
      <c r="B362" s="9" t="s">
        <v>1444</v>
      </c>
      <c r="C362" s="9" t="s">
        <v>1445</v>
      </c>
      <c r="D362" s="9" t="s">
        <v>1446</v>
      </c>
      <c r="E362" s="9" t="s">
        <v>585</v>
      </c>
      <c r="F362" s="11" t="s">
        <v>54</v>
      </c>
      <c r="G362" s="11" t="s">
        <v>36</v>
      </c>
      <c r="H362" s="9" t="s">
        <v>42</v>
      </c>
      <c r="I362" s="15">
        <v>1</v>
      </c>
      <c r="J362" s="17">
        <f>[1]Detail!M362+[1]Detail!N362</f>
        <v>149812</v>
      </c>
      <c r="K362" s="17">
        <f>J362*[1]Detail!I362</f>
        <v>149812</v>
      </c>
      <c r="L362" s="9"/>
    </row>
    <row r="363" ht="34.5" spans="1:12">
      <c r="A363" s="8" t="s">
        <v>1447</v>
      </c>
      <c r="B363" s="9" t="s">
        <v>1448</v>
      </c>
      <c r="C363" s="9" t="s">
        <v>1449</v>
      </c>
      <c r="D363" s="9" t="s">
        <v>1450</v>
      </c>
      <c r="E363" s="9" t="s">
        <v>204</v>
      </c>
      <c r="F363" s="11" t="s">
        <v>54</v>
      </c>
      <c r="G363" s="11" t="s">
        <v>20</v>
      </c>
      <c r="H363" s="9" t="s">
        <v>42</v>
      </c>
      <c r="I363" s="15">
        <v>1</v>
      </c>
      <c r="J363" s="17">
        <f>[1]Detail!M363+[1]Detail!N363</f>
        <v>107718</v>
      </c>
      <c r="K363" s="17">
        <f>J363*[1]Detail!I363</f>
        <v>107718</v>
      </c>
      <c r="L363" s="9"/>
    </row>
    <row r="364" ht="23" spans="1:12">
      <c r="A364" s="8" t="s">
        <v>1451</v>
      </c>
      <c r="B364" s="9" t="s">
        <v>1452</v>
      </c>
      <c r="C364" s="9" t="s">
        <v>1453</v>
      </c>
      <c r="D364" s="9" t="s">
        <v>1454</v>
      </c>
      <c r="E364" s="9" t="s">
        <v>606</v>
      </c>
      <c r="F364" s="11" t="s">
        <v>54</v>
      </c>
      <c r="G364" s="11" t="s">
        <v>41</v>
      </c>
      <c r="H364" s="9" t="s">
        <v>21</v>
      </c>
      <c r="I364" s="15">
        <v>1</v>
      </c>
      <c r="J364" s="17">
        <f>[1]Detail!M364+[1]Detail!N364</f>
        <v>403936</v>
      </c>
      <c r="K364" s="17">
        <f>J364*[1]Detail!I364</f>
        <v>403936</v>
      </c>
      <c r="L364" s="9"/>
    </row>
    <row r="365" ht="23" spans="1:12">
      <c r="A365" s="8" t="s">
        <v>1455</v>
      </c>
      <c r="B365" s="9" t="s">
        <v>1452</v>
      </c>
      <c r="C365" s="9" t="s">
        <v>1453</v>
      </c>
      <c r="D365" s="9" t="s">
        <v>1454</v>
      </c>
      <c r="E365" s="9" t="s">
        <v>606</v>
      </c>
      <c r="F365" s="11" t="s">
        <v>54</v>
      </c>
      <c r="G365" s="11" t="s">
        <v>41</v>
      </c>
      <c r="H365" s="9" t="s">
        <v>21</v>
      </c>
      <c r="I365" s="15">
        <v>1</v>
      </c>
      <c r="J365" s="17">
        <f>[1]Detail!M365+[1]Detail!N365</f>
        <v>403936</v>
      </c>
      <c r="K365" s="17">
        <f>J365*[1]Detail!I365</f>
        <v>403936</v>
      </c>
      <c r="L365" s="9"/>
    </row>
    <row r="366" ht="23" spans="1:12">
      <c r="A366" s="8" t="s">
        <v>1456</v>
      </c>
      <c r="B366" s="9" t="s">
        <v>1457</v>
      </c>
      <c r="C366" s="9" t="s">
        <v>1458</v>
      </c>
      <c r="D366" s="9" t="s">
        <v>1459</v>
      </c>
      <c r="E366" s="9" t="s">
        <v>606</v>
      </c>
      <c r="F366" s="11" t="s">
        <v>54</v>
      </c>
      <c r="G366" s="11" t="s">
        <v>20</v>
      </c>
      <c r="H366" s="9" t="s">
        <v>42</v>
      </c>
      <c r="I366" s="15">
        <v>1</v>
      </c>
      <c r="J366" s="17">
        <f>[1]Detail!M366+[1]Detail!N366</f>
        <v>161564</v>
      </c>
      <c r="K366" s="17">
        <f>J366*[1]Detail!I366</f>
        <v>161564</v>
      </c>
      <c r="L366" s="9"/>
    </row>
    <row r="367" ht="23" spans="1:12">
      <c r="A367" s="8" t="s">
        <v>1460</v>
      </c>
      <c r="B367" s="9" t="s">
        <v>1461</v>
      </c>
      <c r="C367" s="9" t="s">
        <v>1462</v>
      </c>
      <c r="D367" s="9" t="s">
        <v>1463</v>
      </c>
      <c r="E367" s="9" t="s">
        <v>585</v>
      </c>
      <c r="F367" s="11" t="s">
        <v>54</v>
      </c>
      <c r="G367" s="11" t="s">
        <v>41</v>
      </c>
      <c r="H367" s="9" t="s">
        <v>21</v>
      </c>
      <c r="I367" s="15">
        <v>1</v>
      </c>
      <c r="J367" s="17">
        <f>[1]Detail!M367+[1]Detail!N367</f>
        <v>284934</v>
      </c>
      <c r="K367" s="17">
        <f>J367*[1]Detail!I367</f>
        <v>284934</v>
      </c>
      <c r="L367" s="9"/>
    </row>
    <row r="368" ht="23" spans="1:12">
      <c r="A368" s="8" t="s">
        <v>1464</v>
      </c>
      <c r="B368" s="9" t="s">
        <v>1465</v>
      </c>
      <c r="C368" s="9" t="s">
        <v>1466</v>
      </c>
      <c r="D368" s="9" t="s">
        <v>1467</v>
      </c>
      <c r="E368" s="9" t="s">
        <v>585</v>
      </c>
      <c r="F368" s="11" t="s">
        <v>54</v>
      </c>
      <c r="G368" s="11" t="s">
        <v>36</v>
      </c>
      <c r="H368" s="9" t="s">
        <v>42</v>
      </c>
      <c r="I368" s="15">
        <v>1</v>
      </c>
      <c r="J368" s="17">
        <f>[1]Detail!M368+[1]Detail!N368</f>
        <v>229112</v>
      </c>
      <c r="K368" s="17">
        <f>J368*[1]Detail!I368</f>
        <v>229112</v>
      </c>
      <c r="L368" s="9"/>
    </row>
    <row r="369" spans="1:12">
      <c r="A369" s="8" t="s">
        <v>1468</v>
      </c>
      <c r="B369" s="9" t="s">
        <v>1469</v>
      </c>
      <c r="C369" s="9" t="s">
        <v>1470</v>
      </c>
      <c r="D369" s="9" t="s">
        <v>1471</v>
      </c>
      <c r="E369" s="9" t="s">
        <v>638</v>
      </c>
      <c r="F369" s="11" t="s">
        <v>19</v>
      </c>
      <c r="G369" s="11" t="s">
        <v>20</v>
      </c>
      <c r="H369" s="9" t="s">
        <v>21</v>
      </c>
      <c r="I369" s="15">
        <v>1</v>
      </c>
      <c r="J369" s="17">
        <f>[1]Detail!M369+[1]Detail!N369</f>
        <v>587548</v>
      </c>
      <c r="K369" s="17">
        <f>J369*[1]Detail!I369</f>
        <v>587548</v>
      </c>
      <c r="L369" s="9"/>
    </row>
    <row r="370" ht="23" spans="1:12">
      <c r="A370" s="8" t="s">
        <v>1472</v>
      </c>
      <c r="B370" s="9" t="s">
        <v>1473</v>
      </c>
      <c r="C370" s="9" t="s">
        <v>1474</v>
      </c>
      <c r="D370" s="9" t="s">
        <v>1475</v>
      </c>
      <c r="E370" s="9" t="s">
        <v>606</v>
      </c>
      <c r="F370" s="11" t="s">
        <v>54</v>
      </c>
      <c r="G370" s="11" t="s">
        <v>41</v>
      </c>
      <c r="H370" s="9" t="s">
        <v>42</v>
      </c>
      <c r="I370" s="15">
        <v>1</v>
      </c>
      <c r="J370" s="17">
        <f>[1]Detail!M370+[1]Detail!N370</f>
        <v>148122</v>
      </c>
      <c r="K370" s="17">
        <f>J370*[1]Detail!I370</f>
        <v>148122</v>
      </c>
      <c r="L370" s="9"/>
    </row>
    <row r="371" ht="23" spans="1:12">
      <c r="A371" s="8" t="s">
        <v>1476</v>
      </c>
      <c r="B371" s="9" t="s">
        <v>1477</v>
      </c>
      <c r="C371" s="9" t="s">
        <v>1478</v>
      </c>
      <c r="D371" s="9" t="s">
        <v>1479</v>
      </c>
      <c r="E371" s="9" t="s">
        <v>457</v>
      </c>
      <c r="F371" s="11" t="s">
        <v>19</v>
      </c>
      <c r="G371" s="11" t="s">
        <v>20</v>
      </c>
      <c r="H371" s="9" t="s">
        <v>42</v>
      </c>
      <c r="I371" s="15">
        <v>1</v>
      </c>
      <c r="J371" s="17">
        <f>[1]Detail!M371+[1]Detail!N371</f>
        <v>336622</v>
      </c>
      <c r="K371" s="17">
        <f>J371*[1]Detail!I371</f>
        <v>336622</v>
      </c>
      <c r="L371" s="9"/>
    </row>
    <row r="372" ht="34.5" spans="1:12">
      <c r="A372" s="8" t="s">
        <v>1480</v>
      </c>
      <c r="B372" s="9" t="s">
        <v>1481</v>
      </c>
      <c r="C372" s="9" t="s">
        <v>1482</v>
      </c>
      <c r="D372" s="9" t="s">
        <v>1483</v>
      </c>
      <c r="E372" s="9" t="s">
        <v>179</v>
      </c>
      <c r="F372" s="11" t="s">
        <v>162</v>
      </c>
      <c r="G372" s="11" t="s">
        <v>20</v>
      </c>
      <c r="H372" s="9" t="s">
        <v>42</v>
      </c>
      <c r="I372" s="15">
        <v>1</v>
      </c>
      <c r="J372" s="17">
        <f>[1]Detail!M372+[1]Detail!N372</f>
        <v>148096</v>
      </c>
      <c r="K372" s="17">
        <f>J372*[1]Detail!I372</f>
        <v>148096</v>
      </c>
      <c r="L372" s="9"/>
    </row>
    <row r="373" spans="1:12">
      <c r="A373" s="8" t="s">
        <v>1484</v>
      </c>
      <c r="B373" s="9" t="s">
        <v>1485</v>
      </c>
      <c r="C373" s="9" t="s">
        <v>1486</v>
      </c>
      <c r="D373" s="9" t="s">
        <v>1487</v>
      </c>
      <c r="E373" s="9" t="s">
        <v>1361</v>
      </c>
      <c r="F373" s="11" t="s">
        <v>54</v>
      </c>
      <c r="G373" s="11" t="s">
        <v>20</v>
      </c>
      <c r="H373" s="9" t="s">
        <v>42</v>
      </c>
      <c r="I373" s="15">
        <v>1</v>
      </c>
      <c r="J373" s="17">
        <f>[1]Detail!M373+[1]Detail!N373</f>
        <v>102804</v>
      </c>
      <c r="K373" s="17">
        <f>J373*[1]Detail!I373</f>
        <v>102804</v>
      </c>
      <c r="L373" s="9"/>
    </row>
    <row r="374" ht="23" spans="1:12">
      <c r="A374" s="8" t="s">
        <v>1488</v>
      </c>
      <c r="B374" s="9" t="s">
        <v>1489</v>
      </c>
      <c r="C374" s="9" t="s">
        <v>1490</v>
      </c>
      <c r="D374" s="9" t="s">
        <v>1491</v>
      </c>
      <c r="E374" s="9" t="s">
        <v>267</v>
      </c>
      <c r="F374" s="11" t="s">
        <v>19</v>
      </c>
      <c r="G374" s="11" t="s">
        <v>20</v>
      </c>
      <c r="H374" s="9" t="s">
        <v>21</v>
      </c>
      <c r="I374" s="15">
        <v>1</v>
      </c>
      <c r="J374" s="17">
        <f>[1]Detail!M374+[1]Detail!N374</f>
        <v>355316</v>
      </c>
      <c r="K374" s="17">
        <f>J374*[1]Detail!I374</f>
        <v>355316</v>
      </c>
      <c r="L374" s="9"/>
    </row>
    <row r="375" ht="34.5" spans="1:12">
      <c r="A375" s="8" t="s">
        <v>1492</v>
      </c>
      <c r="B375" s="9" t="s">
        <v>1493</v>
      </c>
      <c r="C375" s="9" t="s">
        <v>1494</v>
      </c>
      <c r="D375" s="9" t="s">
        <v>1495</v>
      </c>
      <c r="E375" s="9" t="s">
        <v>76</v>
      </c>
      <c r="F375" s="11" t="s">
        <v>54</v>
      </c>
      <c r="G375" s="11" t="s">
        <v>36</v>
      </c>
      <c r="H375" s="9" t="s">
        <v>21</v>
      </c>
      <c r="I375" s="15">
        <v>1</v>
      </c>
      <c r="J375" s="17">
        <f>[1]Detail!M375+[1]Detail!N375</f>
        <v>514098</v>
      </c>
      <c r="K375" s="17">
        <f>J375*[1]Detail!I375</f>
        <v>514098</v>
      </c>
      <c r="L375" s="9"/>
    </row>
    <row r="376" ht="23" spans="1:12">
      <c r="A376" s="8" t="s">
        <v>1496</v>
      </c>
      <c r="B376" s="9" t="s">
        <v>1497</v>
      </c>
      <c r="C376" s="9" t="s">
        <v>1498</v>
      </c>
      <c r="D376" s="9" t="s">
        <v>1499</v>
      </c>
      <c r="E376" s="9" t="s">
        <v>754</v>
      </c>
      <c r="F376" s="11" t="s">
        <v>19</v>
      </c>
      <c r="G376" s="11" t="s">
        <v>20</v>
      </c>
      <c r="H376" s="9" t="s">
        <v>21</v>
      </c>
      <c r="I376" s="15">
        <v>1</v>
      </c>
      <c r="J376" s="17">
        <f>[1]Detail!M376+[1]Detail!N376</f>
        <v>311870</v>
      </c>
      <c r="K376" s="17">
        <f>J376*[1]Detail!I376</f>
        <v>311870</v>
      </c>
      <c r="L376" s="9"/>
    </row>
    <row r="377" spans="1:12">
      <c r="A377" s="8"/>
      <c r="B377" s="9"/>
      <c r="C377" s="9"/>
      <c r="D377" s="10" t="s">
        <v>1500</v>
      </c>
      <c r="E377" s="9"/>
      <c r="F377" s="11"/>
      <c r="G377" s="11"/>
      <c r="H377" s="9"/>
      <c r="I377" s="15"/>
      <c r="J377" s="17"/>
      <c r="K377" s="17"/>
      <c r="L377" s="9"/>
    </row>
    <row r="378" ht="34.5" spans="1:12">
      <c r="A378" s="8"/>
      <c r="B378" s="9"/>
      <c r="C378" s="9"/>
      <c r="D378" s="10" t="s">
        <v>1501</v>
      </c>
      <c r="E378" s="9"/>
      <c r="F378" s="11"/>
      <c r="G378" s="11"/>
      <c r="H378" s="9"/>
      <c r="I378" s="15"/>
      <c r="J378" s="17"/>
      <c r="K378" s="17"/>
      <c r="L378" s="9"/>
    </row>
    <row r="379" ht="23" spans="1:12">
      <c r="A379" s="8" t="s">
        <v>1502</v>
      </c>
      <c r="B379" s="9" t="s">
        <v>1503</v>
      </c>
      <c r="C379" s="9" t="s">
        <v>1504</v>
      </c>
      <c r="D379" s="9" t="s">
        <v>1505</v>
      </c>
      <c r="E379" s="9" t="s">
        <v>1506</v>
      </c>
      <c r="F379" s="11" t="s">
        <v>19</v>
      </c>
      <c r="G379" s="11" t="s">
        <v>41</v>
      </c>
      <c r="H379" s="9" t="s">
        <v>21</v>
      </c>
      <c r="I379" s="15">
        <v>1</v>
      </c>
      <c r="J379" s="17">
        <f>[1]Detail!M379+[1]Detail!N379</f>
        <v>311402</v>
      </c>
      <c r="K379" s="17">
        <f>J379*[1]Detail!I379</f>
        <v>311402</v>
      </c>
      <c r="L379" s="9"/>
    </row>
    <row r="380" ht="46" spans="1:12">
      <c r="A380" s="8" t="s">
        <v>1507</v>
      </c>
      <c r="B380" s="9" t="s">
        <v>1508</v>
      </c>
      <c r="C380" s="9" t="s">
        <v>1509</v>
      </c>
      <c r="D380" s="9" t="s">
        <v>1510</v>
      </c>
      <c r="E380" s="9" t="s">
        <v>76</v>
      </c>
      <c r="F380" s="11" t="s">
        <v>54</v>
      </c>
      <c r="G380" s="11" t="s">
        <v>20</v>
      </c>
      <c r="H380" s="9" t="s">
        <v>21</v>
      </c>
      <c r="I380" s="15">
        <v>1</v>
      </c>
      <c r="J380" s="17">
        <f>[1]Detail!M380+[1]Detail!N380</f>
        <v>255554</v>
      </c>
      <c r="K380" s="17">
        <f>J380*[1]Detail!I380</f>
        <v>255554</v>
      </c>
      <c r="L380" s="9"/>
    </row>
    <row r="381" ht="34.5" spans="1:12">
      <c r="A381" s="8" t="s">
        <v>1511</v>
      </c>
      <c r="B381" s="9" t="s">
        <v>1512</v>
      </c>
      <c r="C381" s="9" t="s">
        <v>1513</v>
      </c>
      <c r="D381" s="9" t="s">
        <v>1514</v>
      </c>
      <c r="E381" s="9" t="s">
        <v>267</v>
      </c>
      <c r="F381" s="11" t="s">
        <v>19</v>
      </c>
      <c r="G381" s="11" t="s">
        <v>20</v>
      </c>
      <c r="H381" s="9" t="s">
        <v>21</v>
      </c>
      <c r="I381" s="15">
        <v>1</v>
      </c>
      <c r="J381" s="17">
        <f>[1]Detail!M381+[1]Detail!N381</f>
        <v>111618</v>
      </c>
      <c r="K381" s="17">
        <f>J381*[1]Detail!I381</f>
        <v>111618</v>
      </c>
      <c r="L381" s="9"/>
    </row>
    <row r="382" ht="23" spans="1:12">
      <c r="A382" s="8" t="s">
        <v>1515</v>
      </c>
      <c r="B382" s="9" t="s">
        <v>1516</v>
      </c>
      <c r="C382" s="9" t="s">
        <v>1517</v>
      </c>
      <c r="D382" s="9" t="s">
        <v>1518</v>
      </c>
      <c r="E382" s="9" t="s">
        <v>76</v>
      </c>
      <c r="F382" s="11" t="s">
        <v>54</v>
      </c>
      <c r="G382" s="11" t="s">
        <v>20</v>
      </c>
      <c r="H382" s="9" t="s">
        <v>42</v>
      </c>
      <c r="I382" s="15">
        <v>1</v>
      </c>
      <c r="J382" s="17">
        <f>[1]Detail!M382+[1]Detail!N382</f>
        <v>146874</v>
      </c>
      <c r="K382" s="17">
        <f>J382*[1]Detail!I382</f>
        <v>146874</v>
      </c>
      <c r="L382" s="9"/>
    </row>
    <row r="383" ht="23" spans="1:12">
      <c r="A383" s="8" t="s">
        <v>1519</v>
      </c>
      <c r="B383" s="9" t="s">
        <v>1520</v>
      </c>
      <c r="C383" s="9" t="s">
        <v>1521</v>
      </c>
      <c r="D383" s="9" t="s">
        <v>1522</v>
      </c>
      <c r="E383" s="9" t="s">
        <v>1073</v>
      </c>
      <c r="F383" s="11" t="s">
        <v>19</v>
      </c>
      <c r="G383" s="11" t="s">
        <v>20</v>
      </c>
      <c r="H383" s="9" t="s">
        <v>42</v>
      </c>
      <c r="I383" s="15">
        <v>1</v>
      </c>
      <c r="J383" s="17">
        <f>[1]Detail!M383+[1]Detail!N383</f>
        <v>145314</v>
      </c>
      <c r="K383" s="17">
        <f>J383*[1]Detail!I383</f>
        <v>145314</v>
      </c>
      <c r="L383" s="9"/>
    </row>
    <row r="384" ht="23" spans="1:12">
      <c r="A384" s="8" t="s">
        <v>1523</v>
      </c>
      <c r="B384" s="9" t="s">
        <v>1524</v>
      </c>
      <c r="C384" s="9" t="s">
        <v>1525</v>
      </c>
      <c r="D384" s="9" t="s">
        <v>1526</v>
      </c>
      <c r="E384" s="9" t="s">
        <v>1073</v>
      </c>
      <c r="F384" s="11" t="s">
        <v>19</v>
      </c>
      <c r="G384" s="11" t="s">
        <v>41</v>
      </c>
      <c r="H384" s="9" t="s">
        <v>42</v>
      </c>
      <c r="I384" s="15">
        <v>1</v>
      </c>
      <c r="J384" s="17">
        <f>[1]Detail!M384+[1]Detail!N384</f>
        <v>175474</v>
      </c>
      <c r="K384" s="17">
        <f>J384*[1]Detail!I384</f>
        <v>175474</v>
      </c>
      <c r="L384" s="9"/>
    </row>
    <row r="385" ht="34.5" spans="1:12">
      <c r="A385" s="8" t="s">
        <v>1527</v>
      </c>
      <c r="B385" s="9" t="s">
        <v>1528</v>
      </c>
      <c r="C385" s="9" t="s">
        <v>1529</v>
      </c>
      <c r="D385" s="9" t="s">
        <v>1530</v>
      </c>
      <c r="E385" s="9" t="s">
        <v>1134</v>
      </c>
      <c r="F385" s="11" t="s">
        <v>1135</v>
      </c>
      <c r="G385" s="11" t="s">
        <v>20</v>
      </c>
      <c r="H385" s="9" t="s">
        <v>42</v>
      </c>
      <c r="I385" s="15">
        <v>1</v>
      </c>
      <c r="J385" s="17">
        <f>[1]Detail!M385+[1]Detail!N385</f>
        <v>131040</v>
      </c>
      <c r="K385" s="17">
        <f>J385*[1]Detail!I385</f>
        <v>131040</v>
      </c>
      <c r="L385" s="9"/>
    </row>
    <row r="386" ht="34.5" spans="1:12">
      <c r="A386" s="8" t="s">
        <v>1531</v>
      </c>
      <c r="B386" s="9" t="s">
        <v>1532</v>
      </c>
      <c r="C386" s="9" t="s">
        <v>1533</v>
      </c>
      <c r="D386" s="9" t="s">
        <v>1534</v>
      </c>
      <c r="E386" s="9" t="s">
        <v>1073</v>
      </c>
      <c r="F386" s="11" t="s">
        <v>19</v>
      </c>
      <c r="G386" s="11" t="s">
        <v>36</v>
      </c>
      <c r="H386" s="9" t="s">
        <v>42</v>
      </c>
      <c r="I386" s="15">
        <v>1</v>
      </c>
      <c r="J386" s="17">
        <f>[1]Detail!M386+[1]Detail!N386</f>
        <v>145314</v>
      </c>
      <c r="K386" s="17">
        <f>J386*[1]Detail!I386</f>
        <v>145314</v>
      </c>
      <c r="L386" s="9"/>
    </row>
    <row r="387" ht="23" spans="1:12">
      <c r="A387" s="8" t="s">
        <v>1535</v>
      </c>
      <c r="B387" s="9" t="s">
        <v>1536</v>
      </c>
      <c r="C387" s="9" t="s">
        <v>1537</v>
      </c>
      <c r="D387" s="9" t="s">
        <v>1538</v>
      </c>
      <c r="E387" s="9" t="s">
        <v>1539</v>
      </c>
      <c r="F387" s="11" t="s">
        <v>19</v>
      </c>
      <c r="G387" s="11" t="s">
        <v>20</v>
      </c>
      <c r="H387" s="9" t="s">
        <v>42</v>
      </c>
      <c r="I387" s="15">
        <v>1</v>
      </c>
      <c r="J387" s="17">
        <f>[1]Detail!M387+[1]Detail!N387</f>
        <v>248222</v>
      </c>
      <c r="K387" s="17">
        <f>J387*[1]Detail!I387</f>
        <v>248222</v>
      </c>
      <c r="L387" s="9"/>
    </row>
    <row r="388" spans="1:12">
      <c r="A388" s="8" t="s">
        <v>1540</v>
      </c>
      <c r="B388" s="9" t="s">
        <v>1541</v>
      </c>
      <c r="C388" s="9" t="s">
        <v>1542</v>
      </c>
      <c r="D388" s="9" t="s">
        <v>1543</v>
      </c>
      <c r="E388" s="9" t="s">
        <v>457</v>
      </c>
      <c r="F388" s="11" t="s">
        <v>19</v>
      </c>
      <c r="G388" s="11" t="s">
        <v>36</v>
      </c>
      <c r="H388" s="9" t="s">
        <v>42</v>
      </c>
      <c r="I388" s="15">
        <v>1</v>
      </c>
      <c r="J388" s="17">
        <f>[1]Detail!M388+[1]Detail!N388</f>
        <v>45760</v>
      </c>
      <c r="K388" s="17">
        <f>J388*[1]Detail!I388</f>
        <v>45760</v>
      </c>
      <c r="L388" s="9"/>
    </row>
    <row r="389" ht="23" spans="1:12">
      <c r="A389" s="8" t="s">
        <v>1544</v>
      </c>
      <c r="B389" s="9" t="s">
        <v>1545</v>
      </c>
      <c r="C389" s="9" t="s">
        <v>1546</v>
      </c>
      <c r="D389" s="9" t="s">
        <v>1547</v>
      </c>
      <c r="E389" s="9" t="s">
        <v>566</v>
      </c>
      <c r="F389" s="11" t="s">
        <v>567</v>
      </c>
      <c r="G389" s="11" t="s">
        <v>36</v>
      </c>
      <c r="H389" s="9" t="s">
        <v>42</v>
      </c>
      <c r="I389" s="15">
        <v>1</v>
      </c>
      <c r="J389" s="17">
        <f>[1]Detail!M389+[1]Detail!N389</f>
        <v>146874</v>
      </c>
      <c r="K389" s="17">
        <f>J389*[1]Detail!I389</f>
        <v>146874</v>
      </c>
      <c r="L389" s="9"/>
    </row>
    <row r="390" ht="23" spans="1:12">
      <c r="A390" s="8" t="s">
        <v>1548</v>
      </c>
      <c r="B390" s="9" t="s">
        <v>1545</v>
      </c>
      <c r="C390" s="9" t="s">
        <v>1546</v>
      </c>
      <c r="D390" s="9" t="s">
        <v>1547</v>
      </c>
      <c r="E390" s="9" t="s">
        <v>566</v>
      </c>
      <c r="F390" s="11" t="s">
        <v>567</v>
      </c>
      <c r="G390" s="11" t="s">
        <v>36</v>
      </c>
      <c r="H390" s="9" t="s">
        <v>42</v>
      </c>
      <c r="I390" s="15">
        <v>1</v>
      </c>
      <c r="J390" s="17">
        <f>[1]Detail!M390+[1]Detail!N390</f>
        <v>146874</v>
      </c>
      <c r="K390" s="17">
        <f>J390*[1]Detail!I390</f>
        <v>146874</v>
      </c>
      <c r="L390" s="9"/>
    </row>
    <row r="391" ht="23" spans="1:12">
      <c r="A391" s="8" t="s">
        <v>1549</v>
      </c>
      <c r="B391" s="9" t="s">
        <v>1550</v>
      </c>
      <c r="C391" s="9" t="s">
        <v>1551</v>
      </c>
      <c r="D391" s="9" t="s">
        <v>1552</v>
      </c>
      <c r="E391" s="9" t="s">
        <v>204</v>
      </c>
      <c r="F391" s="11" t="s">
        <v>54</v>
      </c>
      <c r="G391" s="11" t="s">
        <v>20</v>
      </c>
      <c r="H391" s="9" t="s">
        <v>42</v>
      </c>
      <c r="I391" s="15">
        <v>1</v>
      </c>
      <c r="J391" s="17">
        <f>[1]Detail!M391+[1]Detail!N391</f>
        <v>26910</v>
      </c>
      <c r="K391" s="17">
        <f>J391*[1]Detail!I391</f>
        <v>26910</v>
      </c>
      <c r="L391" s="9"/>
    </row>
    <row r="392" ht="23" spans="1:12">
      <c r="A392" s="8" t="s">
        <v>1553</v>
      </c>
      <c r="B392" s="9" t="s">
        <v>1554</v>
      </c>
      <c r="C392" s="9" t="s">
        <v>1555</v>
      </c>
      <c r="D392" s="9" t="s">
        <v>1556</v>
      </c>
      <c r="E392" s="9" t="s">
        <v>1361</v>
      </c>
      <c r="F392" s="11" t="s">
        <v>54</v>
      </c>
      <c r="G392" s="11" t="s">
        <v>41</v>
      </c>
      <c r="H392" s="9" t="s">
        <v>42</v>
      </c>
      <c r="I392" s="15">
        <v>1</v>
      </c>
      <c r="J392" s="17">
        <f>[1]Detail!M392+[1]Detail!N392</f>
        <v>208546</v>
      </c>
      <c r="K392" s="17">
        <f>J392*[1]Detail!I392</f>
        <v>208546</v>
      </c>
      <c r="L392" s="9"/>
    </row>
    <row r="393" ht="23" spans="1:12">
      <c r="A393" s="8" t="s">
        <v>1557</v>
      </c>
      <c r="B393" s="9" t="s">
        <v>1558</v>
      </c>
      <c r="C393" s="9" t="s">
        <v>1559</v>
      </c>
      <c r="D393" s="9" t="s">
        <v>1560</v>
      </c>
      <c r="E393" s="9" t="s">
        <v>1561</v>
      </c>
      <c r="F393" s="11" t="s">
        <v>54</v>
      </c>
      <c r="G393" s="11" t="s">
        <v>20</v>
      </c>
      <c r="H393" s="9" t="s">
        <v>21</v>
      </c>
      <c r="I393" s="15">
        <v>1</v>
      </c>
      <c r="J393" s="17">
        <f>[1]Detail!M393+[1]Detail!N393</f>
        <v>697710</v>
      </c>
      <c r="K393" s="17">
        <f>J393*[1]Detail!I393</f>
        <v>697710</v>
      </c>
      <c r="L393" s="9"/>
    </row>
    <row r="394" ht="23" spans="1:12">
      <c r="A394" s="8" t="s">
        <v>1562</v>
      </c>
      <c r="B394" s="9" t="s">
        <v>1563</v>
      </c>
      <c r="C394" s="9" t="s">
        <v>1564</v>
      </c>
      <c r="D394" s="9" t="s">
        <v>1565</v>
      </c>
      <c r="E394" s="9" t="s">
        <v>1134</v>
      </c>
      <c r="F394" s="11" t="s">
        <v>1135</v>
      </c>
      <c r="G394" s="11" t="s">
        <v>36</v>
      </c>
      <c r="H394" s="9" t="s">
        <v>42</v>
      </c>
      <c r="I394" s="15">
        <v>1</v>
      </c>
      <c r="J394" s="17">
        <f>[1]Detail!M394+[1]Detail!N394</f>
        <v>131040</v>
      </c>
      <c r="K394" s="17">
        <f>J394*[1]Detail!I394</f>
        <v>131040</v>
      </c>
      <c r="L394" s="9"/>
    </row>
    <row r="395" ht="23" spans="1:12">
      <c r="A395" s="8" t="s">
        <v>1566</v>
      </c>
      <c r="B395" s="9" t="s">
        <v>1567</v>
      </c>
      <c r="C395" s="9" t="s">
        <v>1568</v>
      </c>
      <c r="D395" s="9" t="s">
        <v>1569</v>
      </c>
      <c r="E395" s="9" t="s">
        <v>1212</v>
      </c>
      <c r="F395" s="11" t="s">
        <v>19</v>
      </c>
      <c r="G395" s="11" t="s">
        <v>36</v>
      </c>
      <c r="H395" s="9" t="s">
        <v>21</v>
      </c>
      <c r="I395" s="15">
        <v>1</v>
      </c>
      <c r="J395" s="17">
        <f>[1]Detail!M395+[1]Detail!N395</f>
        <v>135122</v>
      </c>
      <c r="K395" s="17">
        <f>J395*[1]Detail!I395</f>
        <v>135122</v>
      </c>
      <c r="L395" s="9"/>
    </row>
    <row r="396" ht="34.5" spans="1:12">
      <c r="A396" s="8" t="s">
        <v>1570</v>
      </c>
      <c r="B396" s="9" t="s">
        <v>1571</v>
      </c>
      <c r="C396" s="9" t="s">
        <v>1572</v>
      </c>
      <c r="D396" s="9" t="s">
        <v>1573</v>
      </c>
      <c r="E396" s="9" t="s">
        <v>1134</v>
      </c>
      <c r="F396" s="11" t="s">
        <v>1135</v>
      </c>
      <c r="G396" s="11" t="s">
        <v>36</v>
      </c>
      <c r="H396" s="9" t="s">
        <v>42</v>
      </c>
      <c r="I396" s="15">
        <v>1</v>
      </c>
      <c r="J396" s="17">
        <f>[1]Detail!M396+[1]Detail!N396</f>
        <v>131040</v>
      </c>
      <c r="K396" s="17">
        <f>J396*[1]Detail!I396</f>
        <v>131040</v>
      </c>
      <c r="L396" s="9"/>
    </row>
    <row r="397" ht="23" spans="1:12">
      <c r="A397" s="8" t="s">
        <v>1574</v>
      </c>
      <c r="B397" s="9" t="s">
        <v>1575</v>
      </c>
      <c r="C397" s="9" t="s">
        <v>1576</v>
      </c>
      <c r="D397" s="9" t="s">
        <v>1577</v>
      </c>
      <c r="E397" s="9" t="s">
        <v>204</v>
      </c>
      <c r="F397" s="11" t="s">
        <v>54</v>
      </c>
      <c r="G397" s="11" t="s">
        <v>20</v>
      </c>
      <c r="H397" s="9" t="s">
        <v>42</v>
      </c>
      <c r="I397" s="15">
        <v>1</v>
      </c>
      <c r="J397" s="17">
        <f>[1]Detail!M397+[1]Detail!N397</f>
        <v>121186</v>
      </c>
      <c r="K397" s="17">
        <f>J397*[1]Detail!I397</f>
        <v>121186</v>
      </c>
      <c r="L397" s="9"/>
    </row>
    <row r="398" ht="23" spans="1:12">
      <c r="A398" s="8" t="s">
        <v>1578</v>
      </c>
      <c r="B398" s="9" t="s">
        <v>1579</v>
      </c>
      <c r="C398" s="9" t="s">
        <v>1580</v>
      </c>
      <c r="D398" s="9" t="s">
        <v>1581</v>
      </c>
      <c r="E398" s="9" t="s">
        <v>1582</v>
      </c>
      <c r="F398" s="11" t="s">
        <v>19</v>
      </c>
      <c r="G398" s="11" t="s">
        <v>36</v>
      </c>
      <c r="H398" s="9" t="s">
        <v>42</v>
      </c>
      <c r="I398" s="15">
        <v>1</v>
      </c>
      <c r="J398" s="17">
        <f>[1]Detail!M398+[1]Detail!N398</f>
        <v>40378</v>
      </c>
      <c r="K398" s="17">
        <f>J398*[1]Detail!I398</f>
        <v>40378</v>
      </c>
      <c r="L398" s="9"/>
    </row>
    <row r="399" ht="34.5" spans="1:12">
      <c r="A399" s="8" t="s">
        <v>1583</v>
      </c>
      <c r="B399" s="9" t="s">
        <v>1584</v>
      </c>
      <c r="C399" s="9" t="s">
        <v>1585</v>
      </c>
      <c r="D399" s="9" t="s">
        <v>1586</v>
      </c>
      <c r="E399" s="9" t="s">
        <v>1315</v>
      </c>
      <c r="F399" s="11" t="s">
        <v>19</v>
      </c>
      <c r="G399" s="11" t="s">
        <v>20</v>
      </c>
      <c r="H399" s="9" t="s">
        <v>42</v>
      </c>
      <c r="I399" s="15">
        <v>1</v>
      </c>
      <c r="J399" s="17">
        <f>[1]Detail!M399+[1]Detail!N399</f>
        <v>280072</v>
      </c>
      <c r="K399" s="17">
        <f>J399*[1]Detail!I399</f>
        <v>280072</v>
      </c>
      <c r="L399" s="9"/>
    </row>
    <row r="400" spans="1:12">
      <c r="A400" s="8" t="s">
        <v>1587</v>
      </c>
      <c r="B400" s="9" t="s">
        <v>1588</v>
      </c>
      <c r="C400" s="9" t="s">
        <v>1589</v>
      </c>
      <c r="D400" s="9" t="s">
        <v>1590</v>
      </c>
      <c r="E400" s="9" t="s">
        <v>76</v>
      </c>
      <c r="F400" s="11" t="s">
        <v>54</v>
      </c>
      <c r="G400" s="11" t="s">
        <v>36</v>
      </c>
      <c r="H400" s="9" t="s">
        <v>42</v>
      </c>
      <c r="I400" s="15">
        <v>1</v>
      </c>
      <c r="J400" s="17">
        <f>[1]Detail!M400+[1]Detail!N400</f>
        <v>93990</v>
      </c>
      <c r="K400" s="17">
        <f>J400*[1]Detail!I400</f>
        <v>93990</v>
      </c>
      <c r="L400" s="9"/>
    </row>
    <row r="401" ht="34.5" spans="1:12">
      <c r="A401" s="8" t="s">
        <v>1591</v>
      </c>
      <c r="B401" s="9" t="s">
        <v>1218</v>
      </c>
      <c r="C401" s="9" t="s">
        <v>1219</v>
      </c>
      <c r="D401" s="9" t="s">
        <v>1220</v>
      </c>
      <c r="E401" s="9" t="s">
        <v>179</v>
      </c>
      <c r="F401" s="11" t="s">
        <v>162</v>
      </c>
      <c r="G401" s="11" t="s">
        <v>36</v>
      </c>
      <c r="H401" s="9" t="s">
        <v>21</v>
      </c>
      <c r="I401" s="15">
        <v>1</v>
      </c>
      <c r="J401" s="17">
        <f>[1]Detail!M401+[1]Detail!N401</f>
        <v>242346</v>
      </c>
      <c r="K401" s="17">
        <f>J401*[1]Detail!I401</f>
        <v>242346</v>
      </c>
      <c r="L401" s="9"/>
    </row>
    <row r="402" ht="23" spans="1:12">
      <c r="A402" s="8" t="s">
        <v>1592</v>
      </c>
      <c r="B402" s="9" t="s">
        <v>1593</v>
      </c>
      <c r="C402" s="9" t="s">
        <v>1594</v>
      </c>
      <c r="D402" s="9" t="s">
        <v>1595</v>
      </c>
      <c r="E402" s="9" t="s">
        <v>267</v>
      </c>
      <c r="F402" s="11" t="s">
        <v>19</v>
      </c>
      <c r="G402" s="11" t="s">
        <v>36</v>
      </c>
      <c r="H402" s="9" t="s">
        <v>42</v>
      </c>
      <c r="I402" s="15">
        <v>1</v>
      </c>
      <c r="J402" s="17">
        <f>[1]Detail!M402+[1]Detail!N402</f>
        <v>79300</v>
      </c>
      <c r="K402" s="17">
        <f>J402*[1]Detail!I402</f>
        <v>79300</v>
      </c>
      <c r="L402" s="9"/>
    </row>
    <row r="403" ht="34.5" spans="1:12">
      <c r="A403" s="8" t="s">
        <v>1596</v>
      </c>
      <c r="B403" s="9" t="s">
        <v>1597</v>
      </c>
      <c r="C403" s="9" t="s">
        <v>1598</v>
      </c>
      <c r="D403" s="9" t="s">
        <v>1599</v>
      </c>
      <c r="E403" s="9" t="s">
        <v>53</v>
      </c>
      <c r="F403" s="11" t="s">
        <v>54</v>
      </c>
      <c r="G403" s="11" t="s">
        <v>36</v>
      </c>
      <c r="H403" s="9" t="s">
        <v>42</v>
      </c>
      <c r="I403" s="15">
        <v>1</v>
      </c>
      <c r="J403" s="17">
        <f>[1]Detail!M403+[1]Detail!N403</f>
        <v>168818</v>
      </c>
      <c r="K403" s="17">
        <f>J403*[1]Detail!I403</f>
        <v>168818</v>
      </c>
      <c r="L403" s="9"/>
    </row>
    <row r="404" ht="34.5" spans="1:12">
      <c r="A404" s="8" t="s">
        <v>1600</v>
      </c>
      <c r="B404" s="9" t="s">
        <v>1601</v>
      </c>
      <c r="C404" s="9" t="s">
        <v>1602</v>
      </c>
      <c r="D404" s="9" t="s">
        <v>1603</v>
      </c>
      <c r="E404" s="9" t="s">
        <v>267</v>
      </c>
      <c r="F404" s="11" t="s">
        <v>19</v>
      </c>
      <c r="G404" s="11" t="s">
        <v>20</v>
      </c>
      <c r="H404" s="9" t="s">
        <v>42</v>
      </c>
      <c r="I404" s="15">
        <v>1</v>
      </c>
      <c r="J404" s="17">
        <f>[1]Detail!M404+[1]Detail!N404</f>
        <v>67548</v>
      </c>
      <c r="K404" s="17">
        <f>J404*[1]Detail!I404</f>
        <v>67548</v>
      </c>
      <c r="L404" s="9"/>
    </row>
    <row r="405" ht="46" spans="1:12">
      <c r="A405" s="8" t="s">
        <v>1604</v>
      </c>
      <c r="B405" s="9" t="s">
        <v>1605</v>
      </c>
      <c r="C405" s="9" t="s">
        <v>1606</v>
      </c>
      <c r="D405" s="9" t="s">
        <v>1607</v>
      </c>
      <c r="E405" s="9" t="s">
        <v>1608</v>
      </c>
      <c r="F405" s="11" t="s">
        <v>54</v>
      </c>
      <c r="G405" s="11" t="s">
        <v>36</v>
      </c>
      <c r="H405" s="9" t="s">
        <v>42</v>
      </c>
      <c r="I405" s="15">
        <v>1</v>
      </c>
      <c r="J405" s="17">
        <f>[1]Detail!M405+[1]Detail!N405</f>
        <v>159094</v>
      </c>
      <c r="K405" s="17">
        <f>J405*[1]Detail!I405</f>
        <v>159094</v>
      </c>
      <c r="L405" s="9"/>
    </row>
    <row r="406" ht="23" spans="1:12">
      <c r="A406" s="8" t="s">
        <v>1609</v>
      </c>
      <c r="B406" s="9" t="s">
        <v>1610</v>
      </c>
      <c r="C406" s="9" t="s">
        <v>1611</v>
      </c>
      <c r="D406" s="9" t="s">
        <v>1612</v>
      </c>
      <c r="E406" s="9" t="s">
        <v>76</v>
      </c>
      <c r="F406" s="11" t="s">
        <v>54</v>
      </c>
      <c r="G406" s="11" t="s">
        <v>36</v>
      </c>
      <c r="H406" s="9" t="s">
        <v>42</v>
      </c>
      <c r="I406" s="15">
        <v>1</v>
      </c>
      <c r="J406" s="17">
        <f>[1]Detail!M406+[1]Detail!N406</f>
        <v>123370</v>
      </c>
      <c r="K406" s="17">
        <f>J406*[1]Detail!I406</f>
        <v>123370</v>
      </c>
      <c r="L406" s="9"/>
    </row>
    <row r="407" ht="34.5" spans="1:12">
      <c r="A407" s="8" t="s">
        <v>1613</v>
      </c>
      <c r="B407" s="9" t="s">
        <v>1614</v>
      </c>
      <c r="C407" s="9" t="s">
        <v>1615</v>
      </c>
      <c r="D407" s="9" t="s">
        <v>1616</v>
      </c>
      <c r="E407" s="9" t="s">
        <v>1617</v>
      </c>
      <c r="F407" s="11" t="s">
        <v>19</v>
      </c>
      <c r="G407" s="11" t="s">
        <v>36</v>
      </c>
      <c r="H407" s="9" t="s">
        <v>42</v>
      </c>
      <c r="I407" s="15">
        <v>1</v>
      </c>
      <c r="J407" s="17">
        <f>[1]Detail!M407+[1]Detail!N407</f>
        <v>121186</v>
      </c>
      <c r="K407" s="17">
        <f>J407*[1]Detail!I407</f>
        <v>121186</v>
      </c>
      <c r="L407" s="9"/>
    </row>
    <row r="408" ht="23" spans="1:12">
      <c r="A408" s="8" t="s">
        <v>1618</v>
      </c>
      <c r="B408" s="9" t="s">
        <v>1619</v>
      </c>
      <c r="C408" s="9" t="s">
        <v>1620</v>
      </c>
      <c r="D408" s="9" t="s">
        <v>1621</v>
      </c>
      <c r="E408" s="9" t="s">
        <v>1134</v>
      </c>
      <c r="F408" s="11" t="s">
        <v>1135</v>
      </c>
      <c r="G408" s="11" t="s">
        <v>20</v>
      </c>
      <c r="H408" s="9" t="s">
        <v>42</v>
      </c>
      <c r="I408" s="15">
        <v>1</v>
      </c>
      <c r="J408" s="17">
        <f>[1]Detail!M408+[1]Detail!N408</f>
        <v>131040</v>
      </c>
      <c r="K408" s="17">
        <f>J408*[1]Detail!I408</f>
        <v>131040</v>
      </c>
      <c r="L408" s="9"/>
    </row>
    <row r="409" ht="23" spans="1:12">
      <c r="A409" s="8" t="s">
        <v>1622</v>
      </c>
      <c r="B409" s="9" t="s">
        <v>1623</v>
      </c>
      <c r="C409" s="9" t="s">
        <v>1624</v>
      </c>
      <c r="D409" s="9" t="s">
        <v>1625</v>
      </c>
      <c r="E409" s="9" t="s">
        <v>1134</v>
      </c>
      <c r="F409" s="11" t="s">
        <v>1135</v>
      </c>
      <c r="G409" s="11" t="s">
        <v>20</v>
      </c>
      <c r="H409" s="9" t="s">
        <v>42</v>
      </c>
      <c r="I409" s="15">
        <v>1</v>
      </c>
      <c r="J409" s="17">
        <f>[1]Detail!M409+[1]Detail!N409</f>
        <v>131040</v>
      </c>
      <c r="K409" s="17">
        <f>J409*[1]Detail!I409</f>
        <v>131040</v>
      </c>
      <c r="L409" s="9"/>
    </row>
    <row r="410" ht="23" spans="1:12">
      <c r="A410" s="8" t="s">
        <v>1626</v>
      </c>
      <c r="B410" s="9" t="s">
        <v>1627</v>
      </c>
      <c r="C410" s="9" t="s">
        <v>1628</v>
      </c>
      <c r="D410" s="9" t="s">
        <v>1629</v>
      </c>
      <c r="E410" s="9" t="s">
        <v>1073</v>
      </c>
      <c r="F410" s="11" t="s">
        <v>19</v>
      </c>
      <c r="G410" s="11" t="s">
        <v>36</v>
      </c>
      <c r="H410" s="9" t="s">
        <v>42</v>
      </c>
      <c r="I410" s="15">
        <v>1</v>
      </c>
      <c r="J410" s="17">
        <f>[1]Detail!M410+[1]Detail!N410</f>
        <v>131586</v>
      </c>
      <c r="K410" s="17">
        <f>J410*[1]Detail!I410</f>
        <v>131586</v>
      </c>
      <c r="L410" s="9"/>
    </row>
    <row r="411" ht="23" spans="1:12">
      <c r="A411" s="8" t="s">
        <v>1630</v>
      </c>
      <c r="B411" s="9" t="s">
        <v>1631</v>
      </c>
      <c r="C411" s="9" t="s">
        <v>1632</v>
      </c>
      <c r="D411" s="9" t="s">
        <v>1633</v>
      </c>
      <c r="E411" s="9" t="s">
        <v>1113</v>
      </c>
      <c r="F411" s="11" t="s">
        <v>19</v>
      </c>
      <c r="G411" s="11" t="s">
        <v>20</v>
      </c>
      <c r="H411" s="9" t="s">
        <v>42</v>
      </c>
      <c r="I411" s="15">
        <v>1</v>
      </c>
      <c r="J411" s="17">
        <f>[1]Detail!M411+[1]Detail!N411</f>
        <v>98696</v>
      </c>
      <c r="K411" s="17">
        <f>J411*[1]Detail!I411</f>
        <v>98696</v>
      </c>
      <c r="L411" s="9"/>
    </row>
    <row r="412" ht="23" spans="1:12">
      <c r="A412" s="8" t="s">
        <v>1634</v>
      </c>
      <c r="B412" s="9" t="s">
        <v>1635</v>
      </c>
      <c r="C412" s="9" t="s">
        <v>1636</v>
      </c>
      <c r="D412" s="9" t="s">
        <v>1637</v>
      </c>
      <c r="E412" s="9" t="s">
        <v>76</v>
      </c>
      <c r="F412" s="11" t="s">
        <v>54</v>
      </c>
      <c r="G412" s="11" t="s">
        <v>36</v>
      </c>
      <c r="H412" s="9" t="s">
        <v>42</v>
      </c>
      <c r="I412" s="15">
        <v>1</v>
      </c>
      <c r="J412" s="17">
        <f>[1]Detail!M412+[1]Detail!N412</f>
        <v>140998</v>
      </c>
      <c r="K412" s="17">
        <f>J412*[1]Detail!I412</f>
        <v>140998</v>
      </c>
      <c r="L412" s="9"/>
    </row>
    <row r="413" ht="23" spans="1:12">
      <c r="A413" s="8" t="s">
        <v>1638</v>
      </c>
      <c r="B413" s="9" t="s">
        <v>1639</v>
      </c>
      <c r="C413" s="9" t="s">
        <v>1640</v>
      </c>
      <c r="D413" s="9" t="s">
        <v>1641</v>
      </c>
      <c r="E413" s="9" t="s">
        <v>1642</v>
      </c>
      <c r="F413" s="11" t="s">
        <v>19</v>
      </c>
      <c r="G413" s="11" t="s">
        <v>36</v>
      </c>
      <c r="H413" s="9" t="s">
        <v>42</v>
      </c>
      <c r="I413" s="15">
        <v>1</v>
      </c>
      <c r="J413" s="17">
        <f>[1]Detail!M413+[1]Detail!N413</f>
        <v>134628</v>
      </c>
      <c r="K413" s="17">
        <f>J413*[1]Detail!I413</f>
        <v>134628</v>
      </c>
      <c r="L413" s="9"/>
    </row>
    <row r="414" ht="34.5" spans="1:12">
      <c r="A414" s="8" t="s">
        <v>1643</v>
      </c>
      <c r="B414" s="9" t="s">
        <v>1644</v>
      </c>
      <c r="C414" s="9" t="s">
        <v>1645</v>
      </c>
      <c r="D414" s="9" t="s">
        <v>1646</v>
      </c>
      <c r="E414" s="9" t="s">
        <v>1315</v>
      </c>
      <c r="F414" s="11" t="s">
        <v>19</v>
      </c>
      <c r="G414" s="11" t="s">
        <v>20</v>
      </c>
      <c r="H414" s="9" t="s">
        <v>42</v>
      </c>
      <c r="I414" s="15">
        <v>1</v>
      </c>
      <c r="J414" s="17">
        <f>[1]Detail!M414+[1]Detail!N414</f>
        <v>264160</v>
      </c>
      <c r="K414" s="17">
        <f>J414*[1]Detail!I414</f>
        <v>264160</v>
      </c>
      <c r="L414" s="9"/>
    </row>
    <row r="415" ht="23" spans="1:12">
      <c r="A415" s="8" t="s">
        <v>1647</v>
      </c>
      <c r="B415" s="9" t="s">
        <v>1648</v>
      </c>
      <c r="C415" s="9" t="s">
        <v>1649</v>
      </c>
      <c r="D415" s="9" t="s">
        <v>1650</v>
      </c>
      <c r="E415" s="9" t="s">
        <v>267</v>
      </c>
      <c r="F415" s="11" t="s">
        <v>19</v>
      </c>
      <c r="G415" s="11" t="s">
        <v>36</v>
      </c>
      <c r="H415" s="9" t="s">
        <v>21</v>
      </c>
      <c r="I415" s="15">
        <v>1</v>
      </c>
      <c r="J415" s="17">
        <f>[1]Detail!M415+[1]Detail!N415</f>
        <v>233558</v>
      </c>
      <c r="K415" s="17">
        <f>J415*[1]Detail!I415</f>
        <v>233558</v>
      </c>
      <c r="L415" s="9"/>
    </row>
    <row r="416" ht="23" spans="1:12">
      <c r="A416" s="8" t="s">
        <v>1651</v>
      </c>
      <c r="B416" s="9" t="s">
        <v>1652</v>
      </c>
      <c r="C416" s="9" t="s">
        <v>1653</v>
      </c>
      <c r="D416" s="9" t="s">
        <v>1654</v>
      </c>
      <c r="E416" s="9" t="s">
        <v>76</v>
      </c>
      <c r="F416" s="11" t="s">
        <v>54</v>
      </c>
      <c r="G416" s="11" t="s">
        <v>41</v>
      </c>
      <c r="H416" s="9" t="s">
        <v>42</v>
      </c>
      <c r="I416" s="15">
        <v>1</v>
      </c>
      <c r="J416" s="17">
        <f>[1]Detail!M416+[1]Detail!N416</f>
        <v>152750</v>
      </c>
      <c r="K416" s="17">
        <f>J416*[1]Detail!I416</f>
        <v>152750</v>
      </c>
      <c r="L416" s="9"/>
    </row>
    <row r="417" ht="23" spans="1:12">
      <c r="A417" s="8" t="s">
        <v>1655</v>
      </c>
      <c r="B417" s="9" t="s">
        <v>1656</v>
      </c>
      <c r="C417" s="9" t="s">
        <v>1589</v>
      </c>
      <c r="D417" s="9" t="s">
        <v>1657</v>
      </c>
      <c r="E417" s="9" t="s">
        <v>76</v>
      </c>
      <c r="F417" s="11" t="s">
        <v>54</v>
      </c>
      <c r="G417" s="11" t="s">
        <v>36</v>
      </c>
      <c r="H417" s="9" t="s">
        <v>42</v>
      </c>
      <c r="I417" s="15">
        <v>1</v>
      </c>
      <c r="J417" s="17">
        <f>[1]Detail!M417+[1]Detail!N417</f>
        <v>140998</v>
      </c>
      <c r="K417" s="17">
        <f>J417*[1]Detail!I417</f>
        <v>140998</v>
      </c>
      <c r="L417" s="9"/>
    </row>
    <row r="418" ht="23" spans="1:12">
      <c r="A418" s="8" t="s">
        <v>1658</v>
      </c>
      <c r="B418" s="9" t="s">
        <v>1659</v>
      </c>
      <c r="C418" s="9" t="s">
        <v>1660</v>
      </c>
      <c r="D418" s="9" t="s">
        <v>1661</v>
      </c>
      <c r="E418" s="9" t="s">
        <v>1113</v>
      </c>
      <c r="F418" s="11" t="s">
        <v>19</v>
      </c>
      <c r="G418" s="11" t="s">
        <v>36</v>
      </c>
      <c r="H418" s="9" t="s">
        <v>42</v>
      </c>
      <c r="I418" s="15">
        <v>1</v>
      </c>
      <c r="J418" s="17">
        <f>[1]Detail!M418+[1]Detail!N418</f>
        <v>156260</v>
      </c>
      <c r="K418" s="17">
        <f>J418*[1]Detail!I418</f>
        <v>156260</v>
      </c>
      <c r="L418" s="9"/>
    </row>
    <row r="419" ht="34.5" spans="1:12">
      <c r="A419" s="8" t="s">
        <v>1662</v>
      </c>
      <c r="B419" s="9" t="s">
        <v>1663</v>
      </c>
      <c r="C419" s="9" t="s">
        <v>1664</v>
      </c>
      <c r="D419" s="9" t="s">
        <v>1665</v>
      </c>
      <c r="E419" s="9" t="s">
        <v>76</v>
      </c>
      <c r="F419" s="11" t="s">
        <v>54</v>
      </c>
      <c r="G419" s="11" t="s">
        <v>20</v>
      </c>
      <c r="H419" s="9" t="s">
        <v>21</v>
      </c>
      <c r="I419" s="15">
        <v>1</v>
      </c>
      <c r="J419" s="17">
        <f>[1]Detail!M419+[1]Detail!N419</f>
        <v>381914</v>
      </c>
      <c r="K419" s="17">
        <f>J419*[1]Detail!I419</f>
        <v>381914</v>
      </c>
      <c r="L419" s="9"/>
    </row>
    <row r="420" ht="23" spans="1:12">
      <c r="A420" s="8" t="s">
        <v>1666</v>
      </c>
      <c r="B420" s="9" t="s">
        <v>1667</v>
      </c>
      <c r="C420" s="9" t="s">
        <v>1668</v>
      </c>
      <c r="D420" s="9" t="s">
        <v>1669</v>
      </c>
      <c r="E420" s="9" t="s">
        <v>76</v>
      </c>
      <c r="F420" s="11" t="s">
        <v>54</v>
      </c>
      <c r="G420" s="11" t="s">
        <v>36</v>
      </c>
      <c r="H420" s="9" t="s">
        <v>512</v>
      </c>
      <c r="I420" s="18">
        <v>1</v>
      </c>
      <c r="J420" s="17">
        <f>[1]Detail!M420+[1]Detail!N420</f>
        <v>202670</v>
      </c>
      <c r="K420" s="17">
        <f>J420*[1]Detail!I420</f>
        <v>202670</v>
      </c>
      <c r="L420" s="9"/>
    </row>
    <row r="421" spans="1:12">
      <c r="A421" s="8"/>
      <c r="B421" s="9"/>
      <c r="C421" s="9"/>
      <c r="D421" s="10" t="s">
        <v>1670</v>
      </c>
      <c r="E421" s="9"/>
      <c r="F421" s="11"/>
      <c r="G421" s="11"/>
      <c r="H421" s="9"/>
      <c r="I421" s="15"/>
      <c r="J421" s="17"/>
      <c r="K421" s="17"/>
      <c r="L421" s="9"/>
    </row>
    <row r="422" ht="46" spans="1:12">
      <c r="A422" s="8"/>
      <c r="B422" s="9"/>
      <c r="C422" s="9"/>
      <c r="D422" s="10" t="s">
        <v>1671</v>
      </c>
      <c r="E422" s="9"/>
      <c r="F422" s="11"/>
      <c r="G422" s="11"/>
      <c r="H422" s="9"/>
      <c r="I422" s="15"/>
      <c r="J422" s="17"/>
      <c r="K422" s="17"/>
      <c r="L422" s="9"/>
    </row>
    <row r="423" ht="23" spans="1:12">
      <c r="A423" s="8" t="s">
        <v>1672</v>
      </c>
      <c r="B423" s="9" t="s">
        <v>1673</v>
      </c>
      <c r="C423" s="9" t="s">
        <v>1674</v>
      </c>
      <c r="D423" s="9" t="s">
        <v>1675</v>
      </c>
      <c r="E423" s="9" t="s">
        <v>1642</v>
      </c>
      <c r="F423" s="11" t="s">
        <v>19</v>
      </c>
      <c r="G423" s="11" t="s">
        <v>20</v>
      </c>
      <c r="H423" s="9" t="s">
        <v>42</v>
      </c>
      <c r="I423" s="15">
        <v>1</v>
      </c>
      <c r="J423" s="17">
        <f>[1]Detail!M423+[1]Detail!N423</f>
        <v>134628</v>
      </c>
      <c r="K423" s="17">
        <f>J423*[1]Detail!I423</f>
        <v>134628</v>
      </c>
      <c r="L423" s="9"/>
    </row>
    <row r="424" ht="34.5" spans="1:12">
      <c r="A424" s="8" t="s">
        <v>1676</v>
      </c>
      <c r="B424" s="9" t="s">
        <v>1677</v>
      </c>
      <c r="C424" s="9" t="s">
        <v>1678</v>
      </c>
      <c r="D424" s="9" t="s">
        <v>1679</v>
      </c>
      <c r="E424" s="9" t="s">
        <v>1680</v>
      </c>
      <c r="F424" s="11" t="s">
        <v>48</v>
      </c>
      <c r="G424" s="11" t="s">
        <v>36</v>
      </c>
      <c r="H424" s="9" t="s">
        <v>21</v>
      </c>
      <c r="I424" s="15">
        <v>1</v>
      </c>
      <c r="J424" s="17">
        <f>[1]Detail!M424+[1]Detail!N424</f>
        <v>242346</v>
      </c>
      <c r="K424" s="17">
        <f>J424*[1]Detail!I424</f>
        <v>242346</v>
      </c>
      <c r="L424" s="9"/>
    </row>
    <row r="425" ht="23" spans="1:12">
      <c r="A425" s="8" t="s">
        <v>1681</v>
      </c>
      <c r="B425" s="9" t="s">
        <v>1682</v>
      </c>
      <c r="C425" s="9" t="s">
        <v>1683</v>
      </c>
      <c r="D425" s="9" t="s">
        <v>1684</v>
      </c>
      <c r="E425" s="9" t="s">
        <v>457</v>
      </c>
      <c r="F425" s="11" t="s">
        <v>19</v>
      </c>
      <c r="G425" s="11" t="s">
        <v>20</v>
      </c>
      <c r="H425" s="9" t="s">
        <v>42</v>
      </c>
      <c r="I425" s="15">
        <v>1</v>
      </c>
      <c r="J425" s="17">
        <f>[1]Detail!M425+[1]Detail!N425</f>
        <v>45760</v>
      </c>
      <c r="K425" s="17">
        <f>J425*[1]Detail!I425</f>
        <v>45760</v>
      </c>
      <c r="L425" s="9"/>
    </row>
    <row r="426" ht="23" spans="1:12">
      <c r="A426" s="8" t="s">
        <v>1685</v>
      </c>
      <c r="B426" s="9" t="s">
        <v>1686</v>
      </c>
      <c r="C426" s="9" t="s">
        <v>1687</v>
      </c>
      <c r="D426" s="9" t="s">
        <v>1688</v>
      </c>
      <c r="E426" s="9" t="s">
        <v>1073</v>
      </c>
      <c r="F426" s="11" t="s">
        <v>19</v>
      </c>
      <c r="G426" s="11" t="s">
        <v>36</v>
      </c>
      <c r="H426" s="9" t="s">
        <v>42</v>
      </c>
      <c r="I426" s="15">
        <v>1</v>
      </c>
      <c r="J426" s="17">
        <f>[1]Detail!M426+[1]Detail!N426</f>
        <v>109668</v>
      </c>
      <c r="K426" s="17">
        <f>J426*[1]Detail!I426</f>
        <v>109668</v>
      </c>
      <c r="L426" s="9"/>
    </row>
    <row r="427" ht="23" spans="1:12">
      <c r="A427" s="8" t="s">
        <v>1689</v>
      </c>
      <c r="B427" s="9" t="s">
        <v>1690</v>
      </c>
      <c r="C427" s="9" t="s">
        <v>1691</v>
      </c>
      <c r="D427" s="9" t="s">
        <v>1692</v>
      </c>
      <c r="E427" s="9" t="s">
        <v>585</v>
      </c>
      <c r="F427" s="11" t="s">
        <v>54</v>
      </c>
      <c r="G427" s="11" t="s">
        <v>36</v>
      </c>
      <c r="H427" s="9" t="s">
        <v>42</v>
      </c>
      <c r="I427" s="15">
        <v>1</v>
      </c>
      <c r="J427" s="17">
        <f>[1]Detail!M427+[1]Detail!N427</f>
        <v>149812</v>
      </c>
      <c r="K427" s="17">
        <f>J427*[1]Detail!I427</f>
        <v>149812</v>
      </c>
      <c r="L427" s="9"/>
    </row>
    <row r="428" ht="34.5" spans="1:12">
      <c r="A428" s="8" t="s">
        <v>1693</v>
      </c>
      <c r="B428" s="9" t="s">
        <v>1694</v>
      </c>
      <c r="C428" s="9" t="s">
        <v>1695</v>
      </c>
      <c r="D428" s="9" t="s">
        <v>1696</v>
      </c>
      <c r="E428" s="9" t="s">
        <v>1212</v>
      </c>
      <c r="F428" s="11" t="s">
        <v>19</v>
      </c>
      <c r="G428" s="11" t="s">
        <v>36</v>
      </c>
      <c r="H428" s="9" t="s">
        <v>21</v>
      </c>
      <c r="I428" s="15">
        <v>1</v>
      </c>
      <c r="J428" s="17">
        <f>[1]Detail!M428+[1]Detail!N428</f>
        <v>114556</v>
      </c>
      <c r="K428" s="17">
        <f>J428*[1]Detail!I428</f>
        <v>114556</v>
      </c>
      <c r="L428" s="9"/>
    </row>
    <row r="429" ht="23" spans="1:12">
      <c r="A429" s="8" t="s">
        <v>1697</v>
      </c>
      <c r="B429" s="9" t="s">
        <v>1698</v>
      </c>
      <c r="C429" s="9" t="s">
        <v>1699</v>
      </c>
      <c r="D429" s="9" t="s">
        <v>1700</v>
      </c>
      <c r="E429" s="9" t="s">
        <v>1212</v>
      </c>
      <c r="F429" s="11" t="s">
        <v>19</v>
      </c>
      <c r="G429" s="11" t="s">
        <v>36</v>
      </c>
      <c r="H429" s="9" t="s">
        <v>21</v>
      </c>
      <c r="I429" s="15">
        <v>1</v>
      </c>
      <c r="J429" s="17">
        <f>[1]Detail!M429+[1]Detail!N429</f>
        <v>114556</v>
      </c>
      <c r="K429" s="17">
        <f>J429*[1]Detail!I429</f>
        <v>114556</v>
      </c>
      <c r="L429" s="9"/>
    </row>
    <row r="430" ht="23" spans="1:12">
      <c r="A430" s="8" t="s">
        <v>1701</v>
      </c>
      <c r="B430" s="9" t="s">
        <v>1702</v>
      </c>
      <c r="C430" s="9" t="s">
        <v>1703</v>
      </c>
      <c r="D430" s="9" t="s">
        <v>1704</v>
      </c>
      <c r="E430" s="9" t="s">
        <v>1073</v>
      </c>
      <c r="F430" s="11" t="s">
        <v>19</v>
      </c>
      <c r="G430" s="11" t="s">
        <v>20</v>
      </c>
      <c r="H430" s="9" t="s">
        <v>42</v>
      </c>
      <c r="I430" s="15">
        <v>1</v>
      </c>
      <c r="J430" s="17">
        <f>[1]Detail!M430+[1]Detail!N430</f>
        <v>175474</v>
      </c>
      <c r="K430" s="17">
        <f>J430*[1]Detail!I430</f>
        <v>175474</v>
      </c>
      <c r="L430" s="9"/>
    </row>
    <row r="431" ht="34.5" spans="1:12">
      <c r="A431" s="8" t="s">
        <v>1705</v>
      </c>
      <c r="B431" s="9" t="s">
        <v>1706</v>
      </c>
      <c r="C431" s="9" t="s">
        <v>1707</v>
      </c>
      <c r="D431" s="9" t="s">
        <v>1708</v>
      </c>
      <c r="E431" s="9" t="s">
        <v>1642</v>
      </c>
      <c r="F431" s="11" t="s">
        <v>19</v>
      </c>
      <c r="G431" s="11" t="s">
        <v>36</v>
      </c>
      <c r="H431" s="9" t="s">
        <v>42</v>
      </c>
      <c r="I431" s="15">
        <v>1</v>
      </c>
      <c r="J431" s="17">
        <f>[1]Detail!M431+[1]Detail!N431</f>
        <v>113074</v>
      </c>
      <c r="K431" s="17">
        <f>J431*[1]Detail!I431</f>
        <v>113074</v>
      </c>
      <c r="L431" s="9"/>
    </row>
    <row r="432" ht="23" spans="1:12">
      <c r="A432" s="8" t="s">
        <v>1709</v>
      </c>
      <c r="B432" s="9" t="s">
        <v>1710</v>
      </c>
      <c r="C432" s="9" t="s">
        <v>1711</v>
      </c>
      <c r="D432" s="9" t="s">
        <v>1712</v>
      </c>
      <c r="E432" s="9" t="s">
        <v>1073</v>
      </c>
      <c r="F432" s="11" t="s">
        <v>19</v>
      </c>
      <c r="G432" s="11" t="s">
        <v>36</v>
      </c>
      <c r="H432" s="9" t="s">
        <v>42</v>
      </c>
      <c r="I432" s="15">
        <v>1</v>
      </c>
      <c r="J432" s="17">
        <f>[1]Detail!M432+[1]Detail!N432</f>
        <v>153530</v>
      </c>
      <c r="K432" s="17">
        <f>J432*[1]Detail!I432</f>
        <v>153530</v>
      </c>
      <c r="L432" s="9"/>
    </row>
    <row r="433" ht="23" spans="1:12">
      <c r="A433" s="8" t="s">
        <v>1713</v>
      </c>
      <c r="B433" s="9" t="s">
        <v>1714</v>
      </c>
      <c r="C433" s="9" t="s">
        <v>1715</v>
      </c>
      <c r="D433" s="9" t="s">
        <v>1716</v>
      </c>
      <c r="E433" s="9" t="s">
        <v>1073</v>
      </c>
      <c r="F433" s="11" t="s">
        <v>19</v>
      </c>
      <c r="G433" s="11" t="s">
        <v>36</v>
      </c>
      <c r="H433" s="9" t="s">
        <v>42</v>
      </c>
      <c r="I433" s="15">
        <v>1</v>
      </c>
      <c r="J433" s="17">
        <f>[1]Detail!M433+[1]Detail!N433</f>
        <v>175474</v>
      </c>
      <c r="K433" s="17">
        <f>J433*[1]Detail!I433</f>
        <v>175474</v>
      </c>
      <c r="L433" s="9"/>
    </row>
    <row r="434" ht="34.5" spans="1:12">
      <c r="A434" s="8" t="s">
        <v>1717</v>
      </c>
      <c r="B434" s="9" t="s">
        <v>1718</v>
      </c>
      <c r="C434" s="9" t="s">
        <v>1719</v>
      </c>
      <c r="D434" s="9" t="s">
        <v>1720</v>
      </c>
      <c r="E434" s="9" t="s">
        <v>1302</v>
      </c>
      <c r="F434" s="11" t="s">
        <v>19</v>
      </c>
      <c r="G434" s="11" t="s">
        <v>36</v>
      </c>
      <c r="H434" s="9" t="s">
        <v>42</v>
      </c>
      <c r="I434" s="15">
        <v>1</v>
      </c>
      <c r="J434" s="17">
        <f>[1]Detail!M434+[1]Detail!N434</f>
        <v>93990</v>
      </c>
      <c r="K434" s="17">
        <f>J434*[1]Detail!I434</f>
        <v>93990</v>
      </c>
      <c r="L434" s="9"/>
    </row>
    <row r="435" ht="23" spans="1:12">
      <c r="A435" s="8" t="s">
        <v>1721</v>
      </c>
      <c r="B435" s="9" t="s">
        <v>1722</v>
      </c>
      <c r="C435" s="9" t="s">
        <v>1723</v>
      </c>
      <c r="D435" s="9" t="s">
        <v>1724</v>
      </c>
      <c r="E435" s="9" t="s">
        <v>1302</v>
      </c>
      <c r="F435" s="11" t="s">
        <v>19</v>
      </c>
      <c r="G435" s="11" t="s">
        <v>36</v>
      </c>
      <c r="H435" s="9" t="s">
        <v>42</v>
      </c>
      <c r="I435" s="15">
        <v>1</v>
      </c>
      <c r="J435" s="17">
        <f>[1]Detail!M435+[1]Detail!N435</f>
        <v>105742</v>
      </c>
      <c r="K435" s="17">
        <f>J435*[1]Detail!I435</f>
        <v>105742</v>
      </c>
      <c r="L435" s="9"/>
    </row>
    <row r="436" ht="46" spans="1:12">
      <c r="A436" s="8" t="s">
        <v>1725</v>
      </c>
      <c r="B436" s="9" t="s">
        <v>1726</v>
      </c>
      <c r="C436" s="9" t="s">
        <v>1727</v>
      </c>
      <c r="D436" s="9" t="s">
        <v>1728</v>
      </c>
      <c r="E436" s="9" t="s">
        <v>1729</v>
      </c>
      <c r="F436" s="11" t="s">
        <v>48</v>
      </c>
      <c r="G436" s="11" t="s">
        <v>20</v>
      </c>
      <c r="H436" s="9" t="s">
        <v>21</v>
      </c>
      <c r="I436" s="15">
        <v>1</v>
      </c>
      <c r="J436" s="17">
        <f>[1]Detail!M436+[1]Detail!N436</f>
        <v>215410</v>
      </c>
      <c r="K436" s="17">
        <f>J436*[1]Detail!I436</f>
        <v>215410</v>
      </c>
      <c r="L436" s="9"/>
    </row>
    <row r="437" ht="23" spans="1:12">
      <c r="A437" s="8" t="s">
        <v>1730</v>
      </c>
      <c r="B437" s="9" t="s">
        <v>1731</v>
      </c>
      <c r="C437" s="9" t="s">
        <v>1732</v>
      </c>
      <c r="D437" s="9" t="s">
        <v>1733</v>
      </c>
      <c r="E437" s="9" t="s">
        <v>1212</v>
      </c>
      <c r="F437" s="11" t="s">
        <v>19</v>
      </c>
      <c r="G437" s="11" t="s">
        <v>20</v>
      </c>
      <c r="H437" s="9" t="s">
        <v>21</v>
      </c>
      <c r="I437" s="15">
        <v>1</v>
      </c>
      <c r="J437" s="17">
        <f>[1]Detail!M437+[1]Detail!N437</f>
        <v>135122</v>
      </c>
      <c r="K437" s="17">
        <f>J437*[1]Detail!I437</f>
        <v>135122</v>
      </c>
      <c r="L437" s="9"/>
    </row>
    <row r="438" ht="23" spans="1:12">
      <c r="A438" s="8" t="s">
        <v>1734</v>
      </c>
      <c r="B438" s="9" t="s">
        <v>1735</v>
      </c>
      <c r="C438" s="9" t="s">
        <v>1736</v>
      </c>
      <c r="D438" s="9" t="s">
        <v>1737</v>
      </c>
      <c r="E438" s="9" t="s">
        <v>76</v>
      </c>
      <c r="F438" s="11" t="s">
        <v>54</v>
      </c>
      <c r="G438" s="11" t="s">
        <v>20</v>
      </c>
      <c r="H438" s="9" t="s">
        <v>42</v>
      </c>
      <c r="I438" s="15">
        <v>1</v>
      </c>
      <c r="J438" s="17">
        <f>[1]Detail!M438+[1]Detail!N438</f>
        <v>155688</v>
      </c>
      <c r="K438" s="17">
        <f>J438*[1]Detail!I438</f>
        <v>155688</v>
      </c>
      <c r="L438" s="9"/>
    </row>
    <row r="439" ht="34.5" spans="1:12">
      <c r="A439" s="8" t="s">
        <v>1738</v>
      </c>
      <c r="B439" s="9" t="s">
        <v>1739</v>
      </c>
      <c r="C439" s="9" t="s">
        <v>1740</v>
      </c>
      <c r="D439" s="9" t="s">
        <v>1741</v>
      </c>
      <c r="E439" s="9" t="s">
        <v>179</v>
      </c>
      <c r="F439" s="11" t="s">
        <v>162</v>
      </c>
      <c r="G439" s="11" t="s">
        <v>20</v>
      </c>
      <c r="H439" s="9" t="s">
        <v>42</v>
      </c>
      <c r="I439" s="15">
        <v>1</v>
      </c>
      <c r="J439" s="17">
        <f>[1]Detail!M439+[1]Detail!N439</f>
        <v>121160</v>
      </c>
      <c r="K439" s="17">
        <f>J439*[1]Detail!I439</f>
        <v>121160</v>
      </c>
      <c r="L439" s="9"/>
    </row>
    <row r="440" spans="1:12">
      <c r="A440" s="8" t="s">
        <v>1742</v>
      </c>
      <c r="B440" s="9" t="s">
        <v>1743</v>
      </c>
      <c r="C440" s="9" t="s">
        <v>1744</v>
      </c>
      <c r="D440" s="9" t="s">
        <v>1745</v>
      </c>
      <c r="E440" s="9" t="s">
        <v>1366</v>
      </c>
      <c r="F440" s="11" t="s">
        <v>54</v>
      </c>
      <c r="G440" s="11" t="s">
        <v>36</v>
      </c>
      <c r="H440" s="9" t="s">
        <v>42</v>
      </c>
      <c r="I440" s="15">
        <v>1</v>
      </c>
      <c r="J440" s="17">
        <f>[1]Detail!M440+[1]Detail!N440</f>
        <v>149812</v>
      </c>
      <c r="K440" s="17">
        <f>J440*[1]Detail!I440</f>
        <v>149812</v>
      </c>
      <c r="L440" s="9"/>
    </row>
    <row r="441" ht="34.5" spans="1:12">
      <c r="A441" s="8" t="s">
        <v>1746</v>
      </c>
      <c r="B441" s="9" t="s">
        <v>1747</v>
      </c>
      <c r="C441" s="9" t="s">
        <v>1748</v>
      </c>
      <c r="D441" s="9" t="s">
        <v>1749</v>
      </c>
      <c r="E441" s="9" t="s">
        <v>1134</v>
      </c>
      <c r="F441" s="11" t="s">
        <v>1135</v>
      </c>
      <c r="G441" s="11" t="s">
        <v>20</v>
      </c>
      <c r="H441" s="9" t="s">
        <v>42</v>
      </c>
      <c r="I441" s="15">
        <v>1</v>
      </c>
      <c r="J441" s="17">
        <f>[1]Detail!M441+[1]Detail!N441</f>
        <v>131040</v>
      </c>
      <c r="K441" s="17">
        <f>J441*[1]Detail!I441</f>
        <v>131040</v>
      </c>
      <c r="L441" s="9"/>
    </row>
    <row r="442" spans="1:12">
      <c r="A442" s="8"/>
      <c r="B442" s="9"/>
      <c r="C442" s="9"/>
      <c r="D442" s="10" t="s">
        <v>1750</v>
      </c>
      <c r="E442" s="9"/>
      <c r="F442" s="11"/>
      <c r="G442" s="11"/>
      <c r="H442" s="9"/>
      <c r="I442" s="15"/>
      <c r="J442" s="17"/>
      <c r="K442" s="17"/>
      <c r="L442" s="9"/>
    </row>
    <row r="443" ht="46" spans="1:12">
      <c r="A443" s="8"/>
      <c r="B443" s="9"/>
      <c r="C443" s="9"/>
      <c r="D443" s="10" t="s">
        <v>1751</v>
      </c>
      <c r="E443" s="9"/>
      <c r="F443" s="11"/>
      <c r="G443" s="11"/>
      <c r="H443" s="9"/>
      <c r="I443" s="15"/>
      <c r="J443" s="17"/>
      <c r="K443" s="17"/>
      <c r="L443" s="9"/>
    </row>
    <row r="444" ht="34.5" spans="1:12">
      <c r="A444" s="8" t="s">
        <v>1752</v>
      </c>
      <c r="B444" s="9" t="s">
        <v>1753</v>
      </c>
      <c r="C444" s="9" t="s">
        <v>1754</v>
      </c>
      <c r="D444" s="9" t="s">
        <v>1755</v>
      </c>
      <c r="E444" s="9" t="s">
        <v>1756</v>
      </c>
      <c r="F444" s="11" t="s">
        <v>19</v>
      </c>
      <c r="G444" s="11" t="s">
        <v>36</v>
      </c>
      <c r="H444" s="9" t="s">
        <v>21</v>
      </c>
      <c r="I444" s="15">
        <v>1</v>
      </c>
      <c r="J444" s="17">
        <f>[1]Detail!M444+[1]Detail!N444</f>
        <v>399542</v>
      </c>
      <c r="K444" s="17">
        <f>J444*[1]Detail!I444</f>
        <v>399542</v>
      </c>
      <c r="L444" s="9"/>
    </row>
    <row r="445" ht="23" spans="1:12">
      <c r="A445" s="8" t="s">
        <v>1757</v>
      </c>
      <c r="B445" s="9" t="s">
        <v>1758</v>
      </c>
      <c r="C445" s="9" t="s">
        <v>1759</v>
      </c>
      <c r="D445" s="9" t="s">
        <v>1760</v>
      </c>
      <c r="E445" s="9" t="s">
        <v>1761</v>
      </c>
      <c r="F445" s="11"/>
      <c r="G445" s="11" t="s">
        <v>20</v>
      </c>
      <c r="H445" s="9" t="s">
        <v>42</v>
      </c>
      <c r="I445" s="15">
        <v>1</v>
      </c>
      <c r="J445" s="17">
        <f>[1]Detail!M445+[1]Detail!N445</f>
        <v>142740</v>
      </c>
      <c r="K445" s="17">
        <f>J445*[1]Detail!I445</f>
        <v>142740</v>
      </c>
      <c r="L445" s="9"/>
    </row>
    <row r="446" ht="34.5" spans="1:12">
      <c r="A446" s="8" t="s">
        <v>1762</v>
      </c>
      <c r="B446" s="9" t="s">
        <v>1763</v>
      </c>
      <c r="C446" s="9" t="s">
        <v>1764</v>
      </c>
      <c r="D446" s="9" t="s">
        <v>1765</v>
      </c>
      <c r="E446" s="9" t="s">
        <v>179</v>
      </c>
      <c r="F446" s="11" t="s">
        <v>162</v>
      </c>
      <c r="G446" s="11" t="s">
        <v>20</v>
      </c>
      <c r="H446" s="9" t="s">
        <v>42</v>
      </c>
      <c r="I446" s="15">
        <v>1</v>
      </c>
      <c r="J446" s="17">
        <f>[1]Detail!M446+[1]Detail!N446</f>
        <v>148096</v>
      </c>
      <c r="K446" s="17">
        <f>J446*[1]Detail!I446</f>
        <v>148096</v>
      </c>
      <c r="L446" s="9"/>
    </row>
    <row r="447" ht="23" spans="1:12">
      <c r="A447" s="8" t="s">
        <v>1766</v>
      </c>
      <c r="B447" s="9" t="s">
        <v>1767</v>
      </c>
      <c r="C447" s="9" t="s">
        <v>1768</v>
      </c>
      <c r="D447" s="9" t="s">
        <v>1769</v>
      </c>
      <c r="E447" s="9" t="s">
        <v>1770</v>
      </c>
      <c r="F447" s="11" t="s">
        <v>19</v>
      </c>
      <c r="G447" s="11" t="s">
        <v>20</v>
      </c>
      <c r="H447" s="9" t="s">
        <v>21</v>
      </c>
      <c r="I447" s="15">
        <v>1</v>
      </c>
      <c r="J447" s="17">
        <f>[1]Detail!M447+[1]Detail!N447</f>
        <v>257062</v>
      </c>
      <c r="K447" s="17">
        <f>J447*[1]Detail!I447</f>
        <v>257062</v>
      </c>
      <c r="L447" s="9"/>
    </row>
    <row r="448" ht="34.5" spans="1:12">
      <c r="A448" s="8" t="s">
        <v>1771</v>
      </c>
      <c r="B448" s="9" t="s">
        <v>1772</v>
      </c>
      <c r="C448" s="9" t="s">
        <v>1773</v>
      </c>
      <c r="D448" s="9" t="s">
        <v>1774</v>
      </c>
      <c r="E448" s="9" t="s">
        <v>1756</v>
      </c>
      <c r="F448" s="11" t="s">
        <v>19</v>
      </c>
      <c r="G448" s="11" t="s">
        <v>20</v>
      </c>
      <c r="H448" s="9" t="s">
        <v>42</v>
      </c>
      <c r="I448" s="15">
        <v>1</v>
      </c>
      <c r="J448" s="17">
        <f>[1]Detail!M448+[1]Detail!N448</f>
        <v>289380</v>
      </c>
      <c r="K448" s="17">
        <f>J448*[1]Detail!I448</f>
        <v>289380</v>
      </c>
      <c r="L448" s="9"/>
    </row>
    <row r="449" ht="23" spans="1:12">
      <c r="A449" s="8" t="s">
        <v>1775</v>
      </c>
      <c r="B449" s="9" t="s">
        <v>1776</v>
      </c>
      <c r="C449" s="9" t="s">
        <v>1777</v>
      </c>
      <c r="D449" s="9" t="s">
        <v>1778</v>
      </c>
      <c r="E449" s="9" t="s">
        <v>606</v>
      </c>
      <c r="F449" s="11" t="s">
        <v>54</v>
      </c>
      <c r="G449" s="11" t="s">
        <v>41</v>
      </c>
      <c r="H449" s="9" t="s">
        <v>21</v>
      </c>
      <c r="I449" s="15">
        <v>1</v>
      </c>
      <c r="J449" s="17">
        <f>[1]Detail!M449+[1]Detail!N449</f>
        <v>228904</v>
      </c>
      <c r="K449" s="17">
        <f>J449*[1]Detail!I449</f>
        <v>228904</v>
      </c>
      <c r="L449" s="9"/>
    </row>
    <row r="450" ht="34.5" spans="1:12">
      <c r="A450" s="8" t="s">
        <v>1779</v>
      </c>
      <c r="B450" s="9" t="s">
        <v>1780</v>
      </c>
      <c r="C450" s="9" t="s">
        <v>1781</v>
      </c>
      <c r="D450" s="9" t="s">
        <v>1782</v>
      </c>
      <c r="E450" s="9" t="s">
        <v>195</v>
      </c>
      <c r="F450" s="11" t="s">
        <v>19</v>
      </c>
      <c r="G450" s="11" t="s">
        <v>20</v>
      </c>
      <c r="H450" s="9" t="s">
        <v>42</v>
      </c>
      <c r="I450" s="15">
        <v>1</v>
      </c>
      <c r="J450" s="17">
        <f>[1]Detail!M450+[1]Detail!N450</f>
        <v>367224</v>
      </c>
      <c r="K450" s="17">
        <f>J450*[1]Detail!I450</f>
        <v>367224</v>
      </c>
      <c r="L450" s="9"/>
    </row>
    <row r="451" ht="23" spans="1:12">
      <c r="A451" s="8" t="s">
        <v>1783</v>
      </c>
      <c r="B451" s="9" t="s">
        <v>1784</v>
      </c>
      <c r="C451" s="9" t="s">
        <v>1785</v>
      </c>
      <c r="D451" s="9" t="s">
        <v>1786</v>
      </c>
      <c r="E451" s="9" t="s">
        <v>204</v>
      </c>
      <c r="F451" s="11" t="s">
        <v>54</v>
      </c>
      <c r="G451" s="11" t="s">
        <v>36</v>
      </c>
      <c r="H451" s="9" t="s">
        <v>42</v>
      </c>
      <c r="I451" s="15">
        <v>1</v>
      </c>
      <c r="J451" s="17">
        <f>[1]Detail!M451+[1]Detail!N451</f>
        <v>26910</v>
      </c>
      <c r="K451" s="17">
        <f>J451*[1]Detail!I451</f>
        <v>26910</v>
      </c>
      <c r="L451" s="9"/>
    </row>
    <row r="452" spans="1:12">
      <c r="A452" s="8" t="s">
        <v>1787</v>
      </c>
      <c r="B452" s="9" t="s">
        <v>1788</v>
      </c>
      <c r="C452" s="9" t="s">
        <v>1789</v>
      </c>
      <c r="D452" s="9" t="s">
        <v>1790</v>
      </c>
      <c r="E452" s="9" t="s">
        <v>76</v>
      </c>
      <c r="F452" s="11" t="s">
        <v>54</v>
      </c>
      <c r="G452" s="11" t="s">
        <v>20</v>
      </c>
      <c r="H452" s="9" t="s">
        <v>42</v>
      </c>
      <c r="I452" s="15">
        <v>1</v>
      </c>
      <c r="J452" s="17">
        <f>[1]Detail!M452+[1]Detail!N452</f>
        <v>135122</v>
      </c>
      <c r="K452" s="17">
        <f>J452*[1]Detail!I452</f>
        <v>135122</v>
      </c>
      <c r="L452" s="9"/>
    </row>
    <row r="453" ht="23" spans="1:12">
      <c r="A453" s="8" t="s">
        <v>1791</v>
      </c>
      <c r="B453" s="9" t="s">
        <v>1792</v>
      </c>
      <c r="C453" s="9" t="s">
        <v>1793</v>
      </c>
      <c r="D453" s="9" t="s">
        <v>1794</v>
      </c>
      <c r="E453" s="9" t="s">
        <v>76</v>
      </c>
      <c r="F453" s="11" t="s">
        <v>54</v>
      </c>
      <c r="G453" s="11" t="s">
        <v>41</v>
      </c>
      <c r="H453" s="9" t="s">
        <v>21</v>
      </c>
      <c r="I453" s="15">
        <v>1</v>
      </c>
      <c r="J453" s="17">
        <f>[1]Detail!M453+[1]Detail!N453</f>
        <v>558168</v>
      </c>
      <c r="K453" s="17">
        <f>J453*[1]Detail!I453</f>
        <v>558168</v>
      </c>
      <c r="L453" s="9"/>
    </row>
    <row r="454" ht="23" spans="1:12">
      <c r="A454" s="8" t="s">
        <v>1795</v>
      </c>
      <c r="B454" s="9" t="s">
        <v>1796</v>
      </c>
      <c r="C454" s="9" t="s">
        <v>1797</v>
      </c>
      <c r="D454" s="9" t="s">
        <v>1798</v>
      </c>
      <c r="E454" s="9" t="s">
        <v>204</v>
      </c>
      <c r="F454" s="11" t="s">
        <v>54</v>
      </c>
      <c r="G454" s="11" t="s">
        <v>36</v>
      </c>
      <c r="H454" s="9" t="s">
        <v>42</v>
      </c>
      <c r="I454" s="15">
        <v>1</v>
      </c>
      <c r="J454" s="17">
        <f>[1]Detail!M454+[1]Detail!N454</f>
        <v>121186</v>
      </c>
      <c r="K454" s="17">
        <f>J454*[1]Detail!I454</f>
        <v>121186</v>
      </c>
      <c r="L454" s="9"/>
    </row>
    <row r="455" ht="23" spans="1:12">
      <c r="A455" s="8" t="s">
        <v>1799</v>
      </c>
      <c r="B455" s="9" t="s">
        <v>1800</v>
      </c>
      <c r="C455" s="9" t="s">
        <v>1801</v>
      </c>
      <c r="D455" s="9" t="s">
        <v>1802</v>
      </c>
      <c r="E455" s="9" t="s">
        <v>356</v>
      </c>
      <c r="F455" s="11" t="s">
        <v>357</v>
      </c>
      <c r="G455" s="11" t="s">
        <v>36</v>
      </c>
      <c r="H455" s="9" t="s">
        <v>42</v>
      </c>
      <c r="I455" s="15">
        <v>1</v>
      </c>
      <c r="J455" s="17">
        <f>[1]Detail!M455+[1]Detail!N455</f>
        <v>376974</v>
      </c>
      <c r="K455" s="17">
        <f>J455*[1]Detail!I455</f>
        <v>376974</v>
      </c>
      <c r="L455" s="9"/>
    </row>
    <row r="456" ht="34.5" spans="1:12">
      <c r="A456" s="8" t="s">
        <v>1803</v>
      </c>
      <c r="B456" s="9" t="s">
        <v>1804</v>
      </c>
      <c r="C456" s="9" t="s">
        <v>1805</v>
      </c>
      <c r="D456" s="9" t="s">
        <v>1806</v>
      </c>
      <c r="E456" s="9" t="s">
        <v>195</v>
      </c>
      <c r="F456" s="11" t="s">
        <v>19</v>
      </c>
      <c r="G456" s="11" t="s">
        <v>41</v>
      </c>
      <c r="H456" s="9" t="s">
        <v>42</v>
      </c>
      <c r="I456" s="15">
        <v>1</v>
      </c>
      <c r="J456" s="17">
        <f>[1]Detail!M456+[1]Detail!N456</f>
        <v>337818</v>
      </c>
      <c r="K456" s="17">
        <f>J456*[1]Detail!I456</f>
        <v>337818</v>
      </c>
      <c r="L456" s="9"/>
    </row>
    <row r="457" ht="34.5" spans="1:12">
      <c r="A457" s="8" t="s">
        <v>1807</v>
      </c>
      <c r="B457" s="9" t="s">
        <v>1808</v>
      </c>
      <c r="C457" s="9" t="s">
        <v>1809</v>
      </c>
      <c r="D457" s="9" t="s">
        <v>1810</v>
      </c>
      <c r="E457" s="9" t="s">
        <v>195</v>
      </c>
      <c r="F457" s="11" t="s">
        <v>19</v>
      </c>
      <c r="G457" s="11" t="s">
        <v>36</v>
      </c>
      <c r="H457" s="9" t="s">
        <v>42</v>
      </c>
      <c r="I457" s="15">
        <v>1</v>
      </c>
      <c r="J457" s="17">
        <f>[1]Detail!M457+[1]Detail!N457</f>
        <v>296218</v>
      </c>
      <c r="K457" s="17">
        <f>J457*[1]Detail!I457</f>
        <v>296218</v>
      </c>
      <c r="L457" s="9"/>
    </row>
    <row r="458" spans="1:12">
      <c r="A458" s="8"/>
      <c r="B458" s="9"/>
      <c r="C458" s="9"/>
      <c r="D458" s="10" t="s">
        <v>1811</v>
      </c>
      <c r="E458" s="9"/>
      <c r="F458" s="11"/>
      <c r="G458" s="11"/>
      <c r="H458" s="9"/>
      <c r="I458" s="15"/>
      <c r="J458" s="17"/>
      <c r="K458" s="17"/>
      <c r="L458" s="9"/>
    </row>
    <row r="459" ht="34.5" spans="1:12">
      <c r="A459" s="8"/>
      <c r="B459" s="9"/>
      <c r="C459" s="9"/>
      <c r="D459" s="10" t="s">
        <v>1812</v>
      </c>
      <c r="E459" s="9"/>
      <c r="F459" s="11"/>
      <c r="G459" s="11"/>
      <c r="H459" s="9"/>
      <c r="I459" s="15"/>
      <c r="J459" s="17"/>
      <c r="K459" s="17"/>
      <c r="L459" s="9"/>
    </row>
    <row r="460" ht="34.5" spans="1:12">
      <c r="A460" s="8" t="s">
        <v>1813</v>
      </c>
      <c r="B460" s="9" t="s">
        <v>1814</v>
      </c>
      <c r="C460" s="9" t="s">
        <v>1815</v>
      </c>
      <c r="D460" s="9" t="s">
        <v>1816</v>
      </c>
      <c r="E460" s="9" t="s">
        <v>179</v>
      </c>
      <c r="F460" s="11" t="s">
        <v>162</v>
      </c>
      <c r="G460" s="11" t="s">
        <v>36</v>
      </c>
      <c r="H460" s="9" t="s">
        <v>42</v>
      </c>
      <c r="I460" s="15">
        <v>1</v>
      </c>
      <c r="J460" s="17">
        <f>[1]Detail!M460+[1]Detail!N460</f>
        <v>148096</v>
      </c>
      <c r="K460" s="17">
        <f>J460*[1]Detail!I460</f>
        <v>148096</v>
      </c>
      <c r="L460" s="9"/>
    </row>
    <row r="461" ht="34.5" spans="1:12">
      <c r="A461" s="8" t="s">
        <v>1817</v>
      </c>
      <c r="B461" s="9" t="s">
        <v>1818</v>
      </c>
      <c r="C461" s="9" t="s">
        <v>1819</v>
      </c>
      <c r="D461" s="9" t="s">
        <v>1820</v>
      </c>
      <c r="E461" s="9" t="s">
        <v>179</v>
      </c>
      <c r="F461" s="11" t="s">
        <v>162</v>
      </c>
      <c r="G461" s="11" t="s">
        <v>36</v>
      </c>
      <c r="H461" s="9" t="s">
        <v>42</v>
      </c>
      <c r="I461" s="15">
        <v>1</v>
      </c>
      <c r="J461" s="17">
        <f>[1]Detail!M461+[1]Detail!N461</f>
        <v>323128</v>
      </c>
      <c r="K461" s="17">
        <f>J461*[1]Detail!I461</f>
        <v>323128</v>
      </c>
      <c r="L461" s="9"/>
    </row>
    <row r="462" ht="23" spans="1:12">
      <c r="A462" s="8" t="s">
        <v>1821</v>
      </c>
      <c r="B462" s="9" t="s">
        <v>1822</v>
      </c>
      <c r="C462" s="9" t="s">
        <v>1823</v>
      </c>
      <c r="D462" s="9" t="s">
        <v>1824</v>
      </c>
      <c r="E462" s="9" t="s">
        <v>1825</v>
      </c>
      <c r="F462" s="11"/>
      <c r="G462" s="11" t="s">
        <v>20</v>
      </c>
      <c r="H462" s="9" t="s">
        <v>21</v>
      </c>
      <c r="I462" s="15">
        <v>1</v>
      </c>
      <c r="J462" s="17">
        <f>[1]Detail!M462+[1]Detail!N462</f>
        <v>90298</v>
      </c>
      <c r="K462" s="17">
        <f>J462*[1]Detail!I462</f>
        <v>90298</v>
      </c>
      <c r="L462" s="9"/>
    </row>
    <row r="463" ht="23" spans="1:12">
      <c r="A463" s="8" t="s">
        <v>1826</v>
      </c>
      <c r="B463" s="9" t="s">
        <v>1827</v>
      </c>
      <c r="C463" s="9" t="s">
        <v>1828</v>
      </c>
      <c r="D463" s="9" t="s">
        <v>1829</v>
      </c>
      <c r="E463" s="9" t="s">
        <v>244</v>
      </c>
      <c r="F463" s="11" t="s">
        <v>162</v>
      </c>
      <c r="G463" s="11" t="s">
        <v>36</v>
      </c>
      <c r="H463" s="9" t="s">
        <v>21</v>
      </c>
      <c r="I463" s="15">
        <v>1</v>
      </c>
      <c r="J463" s="17">
        <f>[1]Detail!M463+[1]Detail!N463</f>
        <v>269282</v>
      </c>
      <c r="K463" s="17">
        <f>J463*[1]Detail!I463</f>
        <v>269282</v>
      </c>
      <c r="L463" s="9"/>
    </row>
    <row r="464" ht="23" spans="1:12">
      <c r="A464" s="8" t="s">
        <v>1830</v>
      </c>
      <c r="B464" s="9" t="s">
        <v>1831</v>
      </c>
      <c r="C464" s="9" t="s">
        <v>1832</v>
      </c>
      <c r="D464" s="9" t="s">
        <v>1833</v>
      </c>
      <c r="E464" s="9" t="s">
        <v>267</v>
      </c>
      <c r="F464" s="11" t="s">
        <v>19</v>
      </c>
      <c r="G464" s="11" t="s">
        <v>41</v>
      </c>
      <c r="H464" s="9" t="s">
        <v>21</v>
      </c>
      <c r="I464" s="15">
        <v>1</v>
      </c>
      <c r="J464" s="17">
        <f>[1]Detail!M464+[1]Detail!N464</f>
        <v>411138</v>
      </c>
      <c r="K464" s="17">
        <f>J464*[1]Detail!I464</f>
        <v>411138</v>
      </c>
      <c r="L464" s="9"/>
    </row>
    <row r="465" ht="23" spans="1:12">
      <c r="A465" s="8" t="s">
        <v>1834</v>
      </c>
      <c r="B465" s="9" t="s">
        <v>1835</v>
      </c>
      <c r="C465" s="9" t="s">
        <v>1836</v>
      </c>
      <c r="D465" s="9" t="s">
        <v>1837</v>
      </c>
      <c r="E465" s="9" t="s">
        <v>26</v>
      </c>
      <c r="F465" s="11" t="s">
        <v>19</v>
      </c>
      <c r="G465" s="11" t="s">
        <v>20</v>
      </c>
      <c r="H465" s="9" t="s">
        <v>21</v>
      </c>
      <c r="I465" s="15">
        <v>1</v>
      </c>
      <c r="J465" s="17">
        <f>[1]Detail!M465+[1]Detail!N465</f>
        <v>342732</v>
      </c>
      <c r="K465" s="17">
        <f>J465*[1]Detail!I465</f>
        <v>342732</v>
      </c>
      <c r="L465" s="9"/>
    </row>
    <row r="466" ht="34.5" spans="1:12">
      <c r="A466" s="8" t="s">
        <v>1838</v>
      </c>
      <c r="B466" s="9" t="s">
        <v>1839</v>
      </c>
      <c r="C466" s="9" t="s">
        <v>1840</v>
      </c>
      <c r="D466" s="9" t="s">
        <v>1841</v>
      </c>
      <c r="E466" s="9" t="s">
        <v>195</v>
      </c>
      <c r="F466" s="11" t="s">
        <v>19</v>
      </c>
      <c r="G466" s="11" t="s">
        <v>41</v>
      </c>
      <c r="H466" s="9" t="s">
        <v>21</v>
      </c>
      <c r="I466" s="15">
        <v>1</v>
      </c>
      <c r="J466" s="17">
        <f>[1]Detail!M466+[1]Detail!N466</f>
        <v>337818</v>
      </c>
      <c r="K466" s="17">
        <f>J466*[1]Detail!I466</f>
        <v>337818</v>
      </c>
      <c r="L466" s="9"/>
    </row>
    <row r="467" spans="1:12">
      <c r="A467" s="8" t="s">
        <v>1842</v>
      </c>
      <c r="B467" s="9" t="s">
        <v>1843</v>
      </c>
      <c r="C467" s="9" t="s">
        <v>1844</v>
      </c>
      <c r="D467" s="9" t="s">
        <v>1845</v>
      </c>
      <c r="E467" s="9" t="s">
        <v>76</v>
      </c>
      <c r="F467" s="11" t="s">
        <v>54</v>
      </c>
      <c r="G467" s="11" t="s">
        <v>36</v>
      </c>
      <c r="H467" s="9" t="s">
        <v>21</v>
      </c>
      <c r="I467" s="15">
        <v>1</v>
      </c>
      <c r="J467" s="17">
        <f>[1]Detail!M467+[1]Detail!N467</f>
        <v>203580</v>
      </c>
      <c r="K467" s="17">
        <f>J467*[1]Detail!I467</f>
        <v>203580</v>
      </c>
      <c r="L467" s="9"/>
    </row>
    <row r="468" ht="34.5" spans="1:12">
      <c r="A468" s="8" t="s">
        <v>1846</v>
      </c>
      <c r="B468" s="9" t="s">
        <v>1847</v>
      </c>
      <c r="C468" s="9" t="s">
        <v>1848</v>
      </c>
      <c r="D468" s="9" t="s">
        <v>1849</v>
      </c>
      <c r="E468" s="9" t="s">
        <v>179</v>
      </c>
      <c r="F468" s="11" t="s">
        <v>162</v>
      </c>
      <c r="G468" s="11" t="s">
        <v>20</v>
      </c>
      <c r="H468" s="9" t="s">
        <v>42</v>
      </c>
      <c r="I468" s="15">
        <v>1</v>
      </c>
      <c r="J468" s="17">
        <f>[1]Detail!M468+[1]Detail!N468</f>
        <v>242346</v>
      </c>
      <c r="K468" s="17">
        <f>J468*[1]Detail!I468</f>
        <v>242346</v>
      </c>
      <c r="L468" s="9"/>
    </row>
    <row r="469" ht="23" spans="1:12">
      <c r="A469" s="8" t="s">
        <v>1850</v>
      </c>
      <c r="B469" s="9" t="s">
        <v>1851</v>
      </c>
      <c r="C469" s="9"/>
      <c r="D469" s="9" t="s">
        <v>1852</v>
      </c>
      <c r="E469" s="9" t="s">
        <v>1825</v>
      </c>
      <c r="F469" s="11"/>
      <c r="G469" s="11" t="s">
        <v>20</v>
      </c>
      <c r="H469" s="9" t="s">
        <v>21</v>
      </c>
      <c r="I469" s="15">
        <v>1</v>
      </c>
      <c r="J469" s="17">
        <f>[1]Detail!M469+[1]Detail!N469</f>
        <v>150618</v>
      </c>
      <c r="K469" s="17">
        <f>J469*[1]Detail!I469</f>
        <v>150618</v>
      </c>
      <c r="L469" s="9"/>
    </row>
    <row r="470" spans="1:12">
      <c r="A470" s="8" t="s">
        <v>1853</v>
      </c>
      <c r="B470" s="9" t="s">
        <v>1854</v>
      </c>
      <c r="C470" s="9" t="s">
        <v>1855</v>
      </c>
      <c r="D470" s="9" t="s">
        <v>1856</v>
      </c>
      <c r="E470" s="9" t="s">
        <v>76</v>
      </c>
      <c r="F470" s="11" t="s">
        <v>54</v>
      </c>
      <c r="G470" s="11" t="s">
        <v>36</v>
      </c>
      <c r="H470" s="9" t="s">
        <v>42</v>
      </c>
      <c r="I470" s="15">
        <v>1</v>
      </c>
      <c r="J470" s="17">
        <f>[1]Detail!M470+[1]Detail!N470</f>
        <v>174382</v>
      </c>
      <c r="K470" s="17">
        <f>J470*[1]Detail!I470</f>
        <v>174382</v>
      </c>
      <c r="L470" s="9"/>
    </row>
    <row r="471" ht="46" spans="1:12">
      <c r="A471" s="8" t="s">
        <v>1857</v>
      </c>
      <c r="B471" s="9" t="s">
        <v>1858</v>
      </c>
      <c r="C471" s="9" t="s">
        <v>1859</v>
      </c>
      <c r="D471" s="9" t="s">
        <v>1860</v>
      </c>
      <c r="E471" s="9" t="s">
        <v>1729</v>
      </c>
      <c r="F471" s="11" t="s">
        <v>48</v>
      </c>
      <c r="G471" s="11" t="s">
        <v>36</v>
      </c>
      <c r="H471" s="9" t="s">
        <v>21</v>
      </c>
      <c r="I471" s="15">
        <v>1</v>
      </c>
      <c r="J471" s="17">
        <f>[1]Detail!M471+[1]Detail!N471</f>
        <v>215410</v>
      </c>
      <c r="K471" s="17">
        <f>J471*[1]Detail!I471</f>
        <v>215410</v>
      </c>
      <c r="L471" s="9"/>
    </row>
    <row r="472" spans="1:12">
      <c r="A472" s="8"/>
      <c r="B472" s="9"/>
      <c r="C472" s="9"/>
      <c r="D472" s="10" t="s">
        <v>1861</v>
      </c>
      <c r="E472" s="9"/>
      <c r="F472" s="11"/>
      <c r="G472" s="11"/>
      <c r="H472" s="9"/>
      <c r="I472" s="15"/>
      <c r="J472" s="17"/>
      <c r="K472" s="17"/>
      <c r="L472" s="9"/>
    </row>
    <row r="473" ht="46" spans="1:12">
      <c r="A473" s="8"/>
      <c r="B473" s="9"/>
      <c r="C473" s="9"/>
      <c r="D473" s="10" t="s">
        <v>1862</v>
      </c>
      <c r="E473" s="9"/>
      <c r="F473" s="11"/>
      <c r="G473" s="11"/>
      <c r="H473" s="9"/>
      <c r="I473" s="15"/>
      <c r="J473" s="17"/>
      <c r="K473" s="17"/>
      <c r="L473" s="9"/>
    </row>
    <row r="474" ht="23" spans="1:12">
      <c r="A474" s="8" t="s">
        <v>1863</v>
      </c>
      <c r="B474" s="9" t="s">
        <v>1864</v>
      </c>
      <c r="C474" s="9" t="s">
        <v>1865</v>
      </c>
      <c r="D474" s="9" t="s">
        <v>1866</v>
      </c>
      <c r="E474" s="9" t="s">
        <v>267</v>
      </c>
      <c r="F474" s="11" t="s">
        <v>19</v>
      </c>
      <c r="G474" s="11" t="s">
        <v>36</v>
      </c>
      <c r="H474" s="9" t="s">
        <v>21</v>
      </c>
      <c r="I474" s="15">
        <v>1</v>
      </c>
      <c r="J474" s="17">
        <f>[1]Detail!M474+[1]Detail!N474</f>
        <v>355472</v>
      </c>
      <c r="K474" s="17">
        <f>J474*[1]Detail!I474</f>
        <v>355472</v>
      </c>
      <c r="L474" s="9"/>
    </row>
    <row r="475" ht="23" spans="1:12">
      <c r="A475" s="8" t="s">
        <v>1867</v>
      </c>
      <c r="B475" s="9" t="s">
        <v>1868</v>
      </c>
      <c r="C475" s="9" t="s">
        <v>1869</v>
      </c>
      <c r="D475" s="9" t="s">
        <v>1870</v>
      </c>
      <c r="E475" s="9" t="s">
        <v>606</v>
      </c>
      <c r="F475" s="11" t="s">
        <v>54</v>
      </c>
      <c r="G475" s="11" t="s">
        <v>41</v>
      </c>
      <c r="H475" s="9" t="s">
        <v>42</v>
      </c>
      <c r="I475" s="15">
        <v>1</v>
      </c>
      <c r="J475" s="17">
        <f>[1]Detail!M475+[1]Detail!N475</f>
        <v>48490</v>
      </c>
      <c r="K475" s="17">
        <f>J475*[1]Detail!I475</f>
        <v>48490</v>
      </c>
      <c r="L475" s="9"/>
    </row>
    <row r="476" ht="23" spans="1:12">
      <c r="A476" s="8" t="s">
        <v>1871</v>
      </c>
      <c r="B476" s="9" t="s">
        <v>1872</v>
      </c>
      <c r="C476" s="9" t="s">
        <v>1873</v>
      </c>
      <c r="D476" s="9" t="s">
        <v>1874</v>
      </c>
      <c r="E476" s="9" t="s">
        <v>585</v>
      </c>
      <c r="F476" s="11" t="s">
        <v>54</v>
      </c>
      <c r="G476" s="11" t="s">
        <v>20</v>
      </c>
      <c r="H476" s="9" t="s">
        <v>42</v>
      </c>
      <c r="I476" s="15">
        <v>1</v>
      </c>
      <c r="J476" s="17">
        <f>[1]Detail!M476+[1]Detail!N476</f>
        <v>164502</v>
      </c>
      <c r="K476" s="17">
        <f>J476*[1]Detail!I476</f>
        <v>164502</v>
      </c>
      <c r="L476" s="9"/>
    </row>
    <row r="477" spans="1:12">
      <c r="A477" s="8" t="s">
        <v>1875</v>
      </c>
      <c r="B477" s="9" t="s">
        <v>1788</v>
      </c>
      <c r="C477" s="9" t="s">
        <v>1789</v>
      </c>
      <c r="D477" s="9" t="s">
        <v>1790</v>
      </c>
      <c r="E477" s="9" t="s">
        <v>76</v>
      </c>
      <c r="F477" s="11" t="s">
        <v>54</v>
      </c>
      <c r="G477" s="11" t="s">
        <v>20</v>
      </c>
      <c r="H477" s="9" t="s">
        <v>42</v>
      </c>
      <c r="I477" s="15">
        <v>1</v>
      </c>
      <c r="J477" s="17">
        <f>[1]Detail!M477+[1]Detail!N477</f>
        <v>135122</v>
      </c>
      <c r="K477" s="17">
        <f>J477*[1]Detail!I477</f>
        <v>135122</v>
      </c>
      <c r="L477" s="9"/>
    </row>
    <row r="478" ht="23" spans="1:12">
      <c r="A478" s="8" t="s">
        <v>1876</v>
      </c>
      <c r="B478" s="9" t="s">
        <v>1877</v>
      </c>
      <c r="C478" s="9" t="s">
        <v>1878</v>
      </c>
      <c r="D478" s="9" t="s">
        <v>1879</v>
      </c>
      <c r="E478" s="9" t="s">
        <v>76</v>
      </c>
      <c r="F478" s="11" t="s">
        <v>54</v>
      </c>
      <c r="G478" s="11" t="s">
        <v>20</v>
      </c>
      <c r="H478" s="9" t="s">
        <v>42</v>
      </c>
      <c r="I478" s="15">
        <v>1</v>
      </c>
      <c r="J478" s="17">
        <f>[1]Detail!M478+[1]Detail!N478</f>
        <v>232050</v>
      </c>
      <c r="K478" s="17">
        <f>J478*[1]Detail!I478</f>
        <v>232050</v>
      </c>
      <c r="L478" s="9"/>
    </row>
    <row r="479" ht="34.5" spans="1:12">
      <c r="A479" s="8" t="s">
        <v>1880</v>
      </c>
      <c r="B479" s="9" t="s">
        <v>1881</v>
      </c>
      <c r="C479" s="9" t="s">
        <v>1882</v>
      </c>
      <c r="D479" s="9" t="s">
        <v>1883</v>
      </c>
      <c r="E479" s="9" t="s">
        <v>76</v>
      </c>
      <c r="F479" s="11" t="s">
        <v>54</v>
      </c>
      <c r="G479" s="11" t="s">
        <v>20</v>
      </c>
      <c r="H479" s="9" t="s">
        <v>42</v>
      </c>
      <c r="I479" s="15">
        <v>1</v>
      </c>
      <c r="J479" s="17">
        <f>[1]Detail!M479+[1]Detail!N479</f>
        <v>87672</v>
      </c>
      <c r="K479" s="17">
        <f>J479*[1]Detail!I479</f>
        <v>87672</v>
      </c>
      <c r="L479" s="9"/>
    </row>
    <row r="480" spans="1:12">
      <c r="A480" s="8" t="s">
        <v>1884</v>
      </c>
      <c r="B480" s="9" t="s">
        <v>1885</v>
      </c>
      <c r="C480" s="9" t="s">
        <v>1886</v>
      </c>
      <c r="D480" s="9" t="s">
        <v>1887</v>
      </c>
      <c r="E480" s="9" t="s">
        <v>76</v>
      </c>
      <c r="F480" s="11" t="s">
        <v>54</v>
      </c>
      <c r="G480" s="11" t="s">
        <v>20</v>
      </c>
      <c r="H480" s="9" t="s">
        <v>21</v>
      </c>
      <c r="I480" s="15">
        <v>1</v>
      </c>
      <c r="J480" s="17">
        <f>[1]Detail!M480+[1]Detail!N480</f>
        <v>270244</v>
      </c>
      <c r="K480" s="17">
        <f>J480*[1]Detail!I480</f>
        <v>270244</v>
      </c>
      <c r="L480" s="9"/>
    </row>
    <row r="481" ht="23" spans="1:12">
      <c r="A481" s="8" t="s">
        <v>1888</v>
      </c>
      <c r="B481" s="9" t="s">
        <v>1889</v>
      </c>
      <c r="C481" s="9" t="s">
        <v>1890</v>
      </c>
      <c r="D481" s="9" t="s">
        <v>1891</v>
      </c>
      <c r="E481" s="9" t="s">
        <v>606</v>
      </c>
      <c r="F481" s="11" t="s">
        <v>54</v>
      </c>
      <c r="G481" s="11" t="s">
        <v>36</v>
      </c>
      <c r="H481" s="9" t="s">
        <v>21</v>
      </c>
      <c r="I481" s="15">
        <v>1</v>
      </c>
      <c r="J481" s="17">
        <f>[1]Detail!M481+[1]Detail!N481</f>
        <v>107692</v>
      </c>
      <c r="K481" s="17">
        <f>J481*[1]Detail!I481</f>
        <v>107692</v>
      </c>
      <c r="L481" s="9"/>
    </row>
    <row r="482" ht="34.5" spans="1:12">
      <c r="A482" s="8" t="s">
        <v>1892</v>
      </c>
      <c r="B482" s="9" t="s">
        <v>1893</v>
      </c>
      <c r="C482" s="9" t="s">
        <v>1894</v>
      </c>
      <c r="D482" s="9" t="s">
        <v>1895</v>
      </c>
      <c r="E482" s="9" t="s">
        <v>179</v>
      </c>
      <c r="F482" s="11" t="s">
        <v>162</v>
      </c>
      <c r="G482" s="11" t="s">
        <v>20</v>
      </c>
      <c r="H482" s="9" t="s">
        <v>42</v>
      </c>
      <c r="I482" s="15">
        <v>1</v>
      </c>
      <c r="J482" s="17">
        <f>[1]Detail!M482+[1]Detail!N482</f>
        <v>107692</v>
      </c>
      <c r="K482" s="17">
        <f>J482*[1]Detail!I482</f>
        <v>107692</v>
      </c>
      <c r="L482" s="9"/>
    </row>
    <row r="483" spans="1:12">
      <c r="A483" s="8" t="s">
        <v>1896</v>
      </c>
      <c r="B483" s="9" t="s">
        <v>1897</v>
      </c>
      <c r="C483" s="9" t="s">
        <v>1898</v>
      </c>
      <c r="D483" s="9" t="s">
        <v>1899</v>
      </c>
      <c r="E483" s="9" t="s">
        <v>76</v>
      </c>
      <c r="F483" s="11" t="s">
        <v>54</v>
      </c>
      <c r="G483" s="11" t="s">
        <v>20</v>
      </c>
      <c r="H483" s="9" t="s">
        <v>42</v>
      </c>
      <c r="I483" s="15">
        <v>1</v>
      </c>
      <c r="J483" s="17">
        <f>[1]Detail!M483+[1]Detail!N483</f>
        <v>155688</v>
      </c>
      <c r="K483" s="17">
        <f>J483*[1]Detail!I483</f>
        <v>155688</v>
      </c>
      <c r="L483" s="9"/>
    </row>
    <row r="484" ht="23" spans="1:12">
      <c r="A484" s="8" t="s">
        <v>1900</v>
      </c>
      <c r="B484" s="9" t="s">
        <v>1901</v>
      </c>
      <c r="C484" s="9" t="s">
        <v>1902</v>
      </c>
      <c r="D484" s="9" t="s">
        <v>1903</v>
      </c>
      <c r="E484" s="9" t="s">
        <v>1506</v>
      </c>
      <c r="F484" s="11" t="s">
        <v>19</v>
      </c>
      <c r="G484" s="11" t="s">
        <v>20</v>
      </c>
      <c r="H484" s="9" t="s">
        <v>21</v>
      </c>
      <c r="I484" s="15">
        <v>1</v>
      </c>
      <c r="J484" s="17">
        <f>[1]Detail!M484+[1]Detail!N484</f>
        <v>334906</v>
      </c>
      <c r="K484" s="17">
        <f>J484*[1]Detail!I484</f>
        <v>334906</v>
      </c>
      <c r="L484" s="9"/>
    </row>
    <row r="485" ht="46" spans="1:12">
      <c r="A485" s="8" t="s">
        <v>1904</v>
      </c>
      <c r="B485" s="9" t="s">
        <v>1905</v>
      </c>
      <c r="C485" s="9" t="s">
        <v>1906</v>
      </c>
      <c r="D485" s="9" t="s">
        <v>1907</v>
      </c>
      <c r="E485" s="9" t="s">
        <v>76</v>
      </c>
      <c r="F485" s="11" t="s">
        <v>54</v>
      </c>
      <c r="G485" s="11" t="s">
        <v>41</v>
      </c>
      <c r="H485" s="9" t="s">
        <v>21</v>
      </c>
      <c r="I485" s="15">
        <v>1</v>
      </c>
      <c r="J485" s="17">
        <f>[1]Detail!M485+[1]Detail!N485</f>
        <v>602238</v>
      </c>
      <c r="K485" s="17">
        <f>J485*[1]Detail!I485</f>
        <v>602238</v>
      </c>
      <c r="L485" s="9"/>
    </row>
    <row r="486" ht="23" spans="1:12">
      <c r="A486" s="8" t="s">
        <v>1908</v>
      </c>
      <c r="B486" s="9" t="s">
        <v>1909</v>
      </c>
      <c r="C486" s="9" t="s">
        <v>1910</v>
      </c>
      <c r="D486" s="9" t="s">
        <v>1911</v>
      </c>
      <c r="E486" s="9" t="s">
        <v>76</v>
      </c>
      <c r="F486" s="11" t="s">
        <v>54</v>
      </c>
      <c r="G486" s="11" t="s">
        <v>20</v>
      </c>
      <c r="H486" s="9" t="s">
        <v>21</v>
      </c>
      <c r="I486" s="15">
        <v>1</v>
      </c>
      <c r="J486" s="17">
        <f>[1]Detail!M486+[1]Detail!N486</f>
        <v>255554</v>
      </c>
      <c r="K486" s="17">
        <f>J486*[1]Detail!I486</f>
        <v>255554</v>
      </c>
      <c r="L486" s="9"/>
    </row>
    <row r="487" ht="23" spans="1:12">
      <c r="A487" s="8" t="s">
        <v>1912</v>
      </c>
      <c r="B487" s="9" t="s">
        <v>1913</v>
      </c>
      <c r="C487" s="9" t="s">
        <v>1914</v>
      </c>
      <c r="D487" s="9" t="s">
        <v>1915</v>
      </c>
      <c r="E487" s="9" t="s">
        <v>606</v>
      </c>
      <c r="F487" s="11" t="s">
        <v>54</v>
      </c>
      <c r="G487" s="11" t="s">
        <v>20</v>
      </c>
      <c r="H487" s="9" t="s">
        <v>42</v>
      </c>
      <c r="I487" s="15">
        <v>1</v>
      </c>
      <c r="J487" s="17">
        <f>[1]Detail!M487+[1]Detail!N487</f>
        <v>75374</v>
      </c>
      <c r="K487" s="17">
        <f>J487*[1]Detail!I487</f>
        <v>75374</v>
      </c>
      <c r="L487" s="9"/>
    </row>
    <row r="488" ht="23" spans="1:12">
      <c r="A488" s="8" t="s">
        <v>1916</v>
      </c>
      <c r="B488" s="9" t="s">
        <v>1917</v>
      </c>
      <c r="C488" s="9" t="s">
        <v>1918</v>
      </c>
      <c r="D488" s="9" t="s">
        <v>1919</v>
      </c>
      <c r="E488" s="9" t="s">
        <v>1920</v>
      </c>
      <c r="F488" s="11" t="s">
        <v>54</v>
      </c>
      <c r="G488" s="11" t="s">
        <v>20</v>
      </c>
      <c r="H488" s="9" t="s">
        <v>42</v>
      </c>
      <c r="I488" s="15">
        <v>1</v>
      </c>
      <c r="J488" s="17">
        <f>[1]Detail!M488+[1]Detail!N488</f>
        <v>25454</v>
      </c>
      <c r="K488" s="17">
        <f>J488*[1]Detail!I488</f>
        <v>25454</v>
      </c>
      <c r="L488" s="9"/>
    </row>
    <row r="489" ht="23" spans="1:12">
      <c r="A489" s="8" t="s">
        <v>1921</v>
      </c>
      <c r="B489" s="9" t="s">
        <v>1922</v>
      </c>
      <c r="C489" s="9" t="s">
        <v>1923</v>
      </c>
      <c r="D489" s="9" t="s">
        <v>1924</v>
      </c>
      <c r="E489" s="9" t="s">
        <v>267</v>
      </c>
      <c r="F489" s="11" t="s">
        <v>19</v>
      </c>
      <c r="G489" s="11" t="s">
        <v>36</v>
      </c>
      <c r="H489" s="9" t="s">
        <v>21</v>
      </c>
      <c r="I489" s="15">
        <v>1</v>
      </c>
      <c r="J489" s="17">
        <f>[1]Detail!M489+[1]Detail!N489</f>
        <v>346502</v>
      </c>
      <c r="K489" s="17">
        <f>J489*[1]Detail!I489</f>
        <v>346502</v>
      </c>
      <c r="L489" s="9"/>
    </row>
    <row r="490" ht="23" spans="1:12">
      <c r="A490" s="8" t="s">
        <v>1925</v>
      </c>
      <c r="B490" s="9" t="s">
        <v>1926</v>
      </c>
      <c r="C490" s="9" t="s">
        <v>1927</v>
      </c>
      <c r="D490" s="9" t="s">
        <v>1928</v>
      </c>
      <c r="E490" s="9" t="s">
        <v>267</v>
      </c>
      <c r="F490" s="11" t="s">
        <v>19</v>
      </c>
      <c r="G490" s="11" t="s">
        <v>36</v>
      </c>
      <c r="H490" s="9" t="s">
        <v>21</v>
      </c>
      <c r="I490" s="15">
        <v>1</v>
      </c>
      <c r="J490" s="17">
        <f>[1]Detail!M490+[1]Detail!N490</f>
        <v>325936</v>
      </c>
      <c r="K490" s="17">
        <f>J490*[1]Detail!I490</f>
        <v>325936</v>
      </c>
      <c r="L490" s="9"/>
    </row>
    <row r="491" ht="34.5" spans="1:12">
      <c r="A491" s="8" t="s">
        <v>1929</v>
      </c>
      <c r="B491" s="9" t="s">
        <v>1930</v>
      </c>
      <c r="C491" s="9" t="s">
        <v>1931</v>
      </c>
      <c r="D491" s="9" t="s">
        <v>1932</v>
      </c>
      <c r="E491" s="9" t="s">
        <v>195</v>
      </c>
      <c r="F491" s="11" t="s">
        <v>19</v>
      </c>
      <c r="G491" s="11" t="s">
        <v>20</v>
      </c>
      <c r="H491" s="9" t="s">
        <v>42</v>
      </c>
      <c r="I491" s="15">
        <v>1</v>
      </c>
      <c r="J491" s="17">
        <f>[1]Detail!M491+[1]Detail!N491</f>
        <v>467558</v>
      </c>
      <c r="K491" s="17">
        <f>J491*[1]Detail!I491</f>
        <v>467558</v>
      </c>
      <c r="L491" s="9"/>
    </row>
    <row r="492" ht="34.5" spans="1:12">
      <c r="A492" s="8" t="s">
        <v>1933</v>
      </c>
      <c r="B492" s="9" t="s">
        <v>1934</v>
      </c>
      <c r="C492" s="9" t="s">
        <v>1935</v>
      </c>
      <c r="D492" s="9" t="s">
        <v>1936</v>
      </c>
      <c r="E492" s="9" t="s">
        <v>179</v>
      </c>
      <c r="F492" s="11" t="s">
        <v>162</v>
      </c>
      <c r="G492" s="11" t="s">
        <v>20</v>
      </c>
      <c r="H492" s="9" t="s">
        <v>42</v>
      </c>
      <c r="I492" s="15">
        <v>1</v>
      </c>
      <c r="J492" s="17">
        <f>[1]Detail!M492+[1]Detail!N492</f>
        <v>148096</v>
      </c>
      <c r="K492" s="17">
        <f>J492*[1]Detail!I492</f>
        <v>148096</v>
      </c>
      <c r="L492" s="9"/>
    </row>
    <row r="493" ht="23" spans="1:12">
      <c r="A493" s="8" t="s">
        <v>1937</v>
      </c>
      <c r="B493" s="9" t="s">
        <v>1938</v>
      </c>
      <c r="C493" s="9" t="s">
        <v>1939</v>
      </c>
      <c r="D493" s="9" t="s">
        <v>1940</v>
      </c>
      <c r="E493" s="9" t="s">
        <v>204</v>
      </c>
      <c r="F493" s="11" t="s">
        <v>54</v>
      </c>
      <c r="G493" s="11" t="s">
        <v>41</v>
      </c>
      <c r="H493" s="9" t="s">
        <v>42</v>
      </c>
      <c r="I493" s="15">
        <v>1</v>
      </c>
      <c r="J493" s="17">
        <f>[1]Detail!M493+[1]Detail!N493</f>
        <v>94224</v>
      </c>
      <c r="K493" s="17">
        <f>J493*[1]Detail!I493</f>
        <v>94224</v>
      </c>
      <c r="L493" s="9"/>
    </row>
    <row r="494" ht="23" spans="1:12">
      <c r="A494" s="8" t="s">
        <v>1941</v>
      </c>
      <c r="B494" s="9" t="s">
        <v>1942</v>
      </c>
      <c r="C494" s="9" t="s">
        <v>1943</v>
      </c>
      <c r="D494" s="9" t="s">
        <v>1944</v>
      </c>
      <c r="E494" s="9" t="s">
        <v>606</v>
      </c>
      <c r="F494" s="11" t="s">
        <v>54</v>
      </c>
      <c r="G494" s="11" t="s">
        <v>41</v>
      </c>
      <c r="H494" s="9" t="s">
        <v>42</v>
      </c>
      <c r="I494" s="15">
        <v>1</v>
      </c>
      <c r="J494" s="17">
        <f>[1]Detail!M494+[1]Detail!N494</f>
        <v>201942</v>
      </c>
      <c r="K494" s="17">
        <f>J494*[1]Detail!I494</f>
        <v>201942</v>
      </c>
      <c r="L494" s="9"/>
    </row>
    <row r="495" ht="23" spans="1:12">
      <c r="A495" s="8" t="s">
        <v>1945</v>
      </c>
      <c r="B495" s="9" t="s">
        <v>1946</v>
      </c>
      <c r="C495" s="9" t="s">
        <v>1947</v>
      </c>
      <c r="D495" s="9" t="s">
        <v>1948</v>
      </c>
      <c r="E495" s="9" t="s">
        <v>1770</v>
      </c>
      <c r="F495" s="11" t="s">
        <v>19</v>
      </c>
      <c r="G495" s="11" t="s">
        <v>20</v>
      </c>
      <c r="H495" s="9" t="s">
        <v>42</v>
      </c>
      <c r="I495" s="15">
        <v>1</v>
      </c>
      <c r="J495" s="17">
        <f>[1]Detail!M495+[1]Detail!N495</f>
        <v>130260</v>
      </c>
      <c r="K495" s="17">
        <f>J495*[1]Detail!I495</f>
        <v>130260</v>
      </c>
      <c r="L495" s="9"/>
    </row>
    <row r="496" ht="23" spans="1:12">
      <c r="A496" s="8" t="s">
        <v>1949</v>
      </c>
      <c r="B496" s="9" t="s">
        <v>1950</v>
      </c>
      <c r="C496" s="9" t="s">
        <v>1951</v>
      </c>
      <c r="D496" s="9" t="s">
        <v>1952</v>
      </c>
      <c r="E496" s="9" t="s">
        <v>204</v>
      </c>
      <c r="F496" s="11" t="s">
        <v>54</v>
      </c>
      <c r="G496" s="11" t="s">
        <v>36</v>
      </c>
      <c r="H496" s="9" t="s">
        <v>42</v>
      </c>
      <c r="I496" s="15">
        <v>1</v>
      </c>
      <c r="J496" s="17">
        <f>[1]Detail!M496+[1]Detail!N496</f>
        <v>107692</v>
      </c>
      <c r="K496" s="17">
        <f>J496*[1]Detail!I496</f>
        <v>107692</v>
      </c>
      <c r="L496" s="9"/>
    </row>
    <row r="497" ht="23" spans="1:12">
      <c r="A497" s="8" t="s">
        <v>1953</v>
      </c>
      <c r="B497" s="9" t="s">
        <v>1954</v>
      </c>
      <c r="C497" s="9" t="s">
        <v>1955</v>
      </c>
      <c r="D497" s="9" t="s">
        <v>1956</v>
      </c>
      <c r="E497" s="9" t="s">
        <v>76</v>
      </c>
      <c r="F497" s="11" t="s">
        <v>54</v>
      </c>
      <c r="G497" s="11" t="s">
        <v>36</v>
      </c>
      <c r="H497" s="9" t="s">
        <v>21</v>
      </c>
      <c r="I497" s="15">
        <v>1</v>
      </c>
      <c r="J497" s="17">
        <f>[1]Detail!M497+[1]Detail!N497</f>
        <v>352534</v>
      </c>
      <c r="K497" s="17">
        <f>J497*[1]Detail!I497</f>
        <v>352534</v>
      </c>
      <c r="L497" s="9"/>
    </row>
    <row r="498" ht="23" spans="1:12">
      <c r="A498" s="8" t="s">
        <v>1957</v>
      </c>
      <c r="B498" s="9" t="s">
        <v>1958</v>
      </c>
      <c r="C498" s="9" t="s">
        <v>1959</v>
      </c>
      <c r="D498" s="9" t="s">
        <v>1960</v>
      </c>
      <c r="E498" s="9" t="s">
        <v>76</v>
      </c>
      <c r="F498" s="11" t="s">
        <v>54</v>
      </c>
      <c r="G498" s="11" t="s">
        <v>20</v>
      </c>
      <c r="H498" s="9" t="s">
        <v>21</v>
      </c>
      <c r="I498" s="15">
        <v>1</v>
      </c>
      <c r="J498" s="17">
        <f>[1]Detail!M498+[1]Detail!N498</f>
        <v>246740</v>
      </c>
      <c r="K498" s="17">
        <f>J498*[1]Detail!I498</f>
        <v>246740</v>
      </c>
      <c r="L498" s="9"/>
    </row>
    <row r="499" ht="23" spans="1:12">
      <c r="A499" s="8" t="s">
        <v>1961</v>
      </c>
      <c r="B499" s="9" t="s">
        <v>1962</v>
      </c>
      <c r="C499" s="9" t="s">
        <v>1963</v>
      </c>
      <c r="D499" s="9" t="s">
        <v>1964</v>
      </c>
      <c r="E499" s="9" t="s">
        <v>585</v>
      </c>
      <c r="F499" s="11" t="s">
        <v>54</v>
      </c>
      <c r="G499" s="11" t="s">
        <v>36</v>
      </c>
      <c r="H499" s="9" t="s">
        <v>42</v>
      </c>
      <c r="I499" s="15">
        <v>1</v>
      </c>
      <c r="J499" s="17">
        <f>[1]Detail!M499+[1]Detail!N499</f>
        <v>146874</v>
      </c>
      <c r="K499" s="17">
        <f>J499*[1]Detail!I499</f>
        <v>146874</v>
      </c>
      <c r="L499" s="9"/>
    </row>
    <row r="500" ht="23" spans="1:12">
      <c r="A500" s="8" t="s">
        <v>1965</v>
      </c>
      <c r="B500" s="9" t="s">
        <v>1966</v>
      </c>
      <c r="C500" s="9" t="s">
        <v>1967</v>
      </c>
      <c r="D500" s="9" t="s">
        <v>1968</v>
      </c>
      <c r="E500" s="9" t="s">
        <v>1430</v>
      </c>
      <c r="F500" s="11" t="s">
        <v>48</v>
      </c>
      <c r="G500" s="11" t="s">
        <v>36</v>
      </c>
      <c r="H500" s="9" t="s">
        <v>42</v>
      </c>
      <c r="I500" s="15">
        <v>1</v>
      </c>
      <c r="J500" s="17">
        <f>[1]Detail!M500+[1]Detail!N500</f>
        <v>475020</v>
      </c>
      <c r="K500" s="17">
        <f>J500*[1]Detail!I500</f>
        <v>475020</v>
      </c>
      <c r="L500" s="9"/>
    </row>
    <row r="501" ht="23" spans="1:12">
      <c r="A501" s="8" t="s">
        <v>1969</v>
      </c>
      <c r="B501" s="9" t="s">
        <v>1970</v>
      </c>
      <c r="C501" s="9" t="s">
        <v>1967</v>
      </c>
      <c r="D501" s="9" t="s">
        <v>1971</v>
      </c>
      <c r="E501" s="9" t="s">
        <v>1430</v>
      </c>
      <c r="F501" s="11" t="s">
        <v>48</v>
      </c>
      <c r="G501" s="11" t="s">
        <v>36</v>
      </c>
      <c r="H501" s="9" t="s">
        <v>42</v>
      </c>
      <c r="I501" s="15">
        <v>1</v>
      </c>
      <c r="J501" s="17">
        <f>[1]Detail!M501+[1]Detail!N501</f>
        <v>475020</v>
      </c>
      <c r="K501" s="17">
        <f>J501*[1]Detail!I501</f>
        <v>475020</v>
      </c>
      <c r="L501" s="9"/>
    </row>
    <row r="502" ht="23" spans="1:12">
      <c r="A502" s="8" t="s">
        <v>1972</v>
      </c>
      <c r="B502" s="9" t="s">
        <v>1973</v>
      </c>
      <c r="C502" s="9" t="s">
        <v>1974</v>
      </c>
      <c r="D502" s="9" t="s">
        <v>1975</v>
      </c>
      <c r="E502" s="9" t="s">
        <v>457</v>
      </c>
      <c r="F502" s="11" t="s">
        <v>19</v>
      </c>
      <c r="G502" s="11" t="s">
        <v>36</v>
      </c>
      <c r="H502" s="9" t="s">
        <v>21</v>
      </c>
      <c r="I502" s="15">
        <v>1</v>
      </c>
      <c r="J502" s="17">
        <f>[1]Detail!M502+[1]Detail!N502</f>
        <v>228904</v>
      </c>
      <c r="K502" s="17">
        <f>J502*[1]Detail!I502</f>
        <v>228904</v>
      </c>
      <c r="L502" s="9"/>
    </row>
    <row r="503" spans="1:12">
      <c r="A503" s="8" t="s">
        <v>1976</v>
      </c>
      <c r="B503" s="9" t="s">
        <v>1977</v>
      </c>
      <c r="C503" s="9" t="s">
        <v>1978</v>
      </c>
      <c r="D503" s="9" t="s">
        <v>1979</v>
      </c>
      <c r="E503" s="9" t="s">
        <v>1980</v>
      </c>
      <c r="F503" s="11" t="s">
        <v>54</v>
      </c>
      <c r="G503" s="11" t="s">
        <v>20</v>
      </c>
      <c r="H503" s="9" t="s">
        <v>42</v>
      </c>
      <c r="I503" s="15">
        <v>1</v>
      </c>
      <c r="J503" s="17">
        <f>[1]Detail!M503+[1]Detail!N503</f>
        <v>34996</v>
      </c>
      <c r="K503" s="17">
        <f>J503*[1]Detail!I503</f>
        <v>34996</v>
      </c>
      <c r="L503" s="9"/>
    </row>
    <row r="504" ht="23" spans="1:12">
      <c r="A504" s="8" t="s">
        <v>1981</v>
      </c>
      <c r="B504" s="9" t="s">
        <v>1982</v>
      </c>
      <c r="C504" s="9" t="s">
        <v>1983</v>
      </c>
      <c r="D504" s="9" t="s">
        <v>1984</v>
      </c>
      <c r="E504" s="9" t="s">
        <v>267</v>
      </c>
      <c r="F504" s="11" t="s">
        <v>19</v>
      </c>
      <c r="G504" s="11" t="s">
        <v>36</v>
      </c>
      <c r="H504" s="9" t="s">
        <v>21</v>
      </c>
      <c r="I504" s="15">
        <v>1</v>
      </c>
      <c r="J504" s="17">
        <f>[1]Detail!M504+[1]Detail!N504</f>
        <v>326092</v>
      </c>
      <c r="K504" s="17">
        <f>J504*[1]Detail!I504</f>
        <v>326092</v>
      </c>
      <c r="L504" s="9"/>
    </row>
    <row r="505" ht="34.5" spans="1:12">
      <c r="A505" s="8" t="s">
        <v>1985</v>
      </c>
      <c r="B505" s="9" t="s">
        <v>1986</v>
      </c>
      <c r="C505" s="9" t="s">
        <v>1987</v>
      </c>
      <c r="D505" s="9" t="s">
        <v>1988</v>
      </c>
      <c r="E505" s="9" t="s">
        <v>76</v>
      </c>
      <c r="F505" s="11" t="s">
        <v>54</v>
      </c>
      <c r="G505" s="11" t="s">
        <v>20</v>
      </c>
      <c r="H505" s="9" t="s">
        <v>21</v>
      </c>
      <c r="I505" s="15">
        <v>1</v>
      </c>
      <c r="J505" s="17">
        <f>[1]Detail!M505+[1]Detail!N505</f>
        <v>381914</v>
      </c>
      <c r="K505" s="17">
        <f>J505*[1]Detail!I505</f>
        <v>381914</v>
      </c>
      <c r="L505" s="9"/>
    </row>
    <row r="506" ht="23" spans="1:12">
      <c r="A506" s="8" t="s">
        <v>1989</v>
      </c>
      <c r="B506" s="9" t="s">
        <v>1990</v>
      </c>
      <c r="C506" s="9" t="s">
        <v>1991</v>
      </c>
      <c r="D506" s="9" t="s">
        <v>1992</v>
      </c>
      <c r="E506" s="9" t="s">
        <v>76</v>
      </c>
      <c r="F506" s="11" t="s">
        <v>54</v>
      </c>
      <c r="G506" s="11" t="s">
        <v>36</v>
      </c>
      <c r="H506" s="9" t="s">
        <v>42</v>
      </c>
      <c r="I506" s="15">
        <v>1</v>
      </c>
      <c r="J506" s="17">
        <f>[1]Detail!M506+[1]Detail!N506</f>
        <v>185068</v>
      </c>
      <c r="K506" s="17">
        <f>J506*[1]Detail!I506</f>
        <v>185068</v>
      </c>
      <c r="L506" s="9"/>
    </row>
    <row r="507" ht="23" spans="1:12">
      <c r="A507" s="8" t="s">
        <v>1993</v>
      </c>
      <c r="B507" s="9" t="s">
        <v>1994</v>
      </c>
      <c r="C507" s="9" t="s">
        <v>1995</v>
      </c>
      <c r="D507" s="9" t="s">
        <v>1996</v>
      </c>
      <c r="E507" s="9" t="s">
        <v>204</v>
      </c>
      <c r="F507" s="11" t="s">
        <v>54</v>
      </c>
      <c r="G507" s="11" t="s">
        <v>41</v>
      </c>
      <c r="H507" s="9" t="s">
        <v>21</v>
      </c>
      <c r="I507" s="15">
        <v>1</v>
      </c>
      <c r="J507" s="17">
        <f>[1]Detail!M507+[1]Detail!N507</f>
        <v>247754</v>
      </c>
      <c r="K507" s="17">
        <f>J507*[1]Detail!I507</f>
        <v>247754</v>
      </c>
      <c r="L507" s="9"/>
    </row>
    <row r="508" ht="23" spans="1:12">
      <c r="A508" s="8" t="s">
        <v>1997</v>
      </c>
      <c r="B508" s="9" t="s">
        <v>1998</v>
      </c>
      <c r="C508" s="9" t="s">
        <v>1999</v>
      </c>
      <c r="D508" s="9" t="s">
        <v>2000</v>
      </c>
      <c r="E508" s="9" t="s">
        <v>2001</v>
      </c>
      <c r="F508" s="11" t="s">
        <v>54</v>
      </c>
      <c r="G508" s="11" t="s">
        <v>20</v>
      </c>
      <c r="H508" s="9" t="s">
        <v>21</v>
      </c>
      <c r="I508" s="15">
        <v>1</v>
      </c>
      <c r="J508" s="17">
        <f>[1]Detail!M508+[1]Detail!N508</f>
        <v>39182</v>
      </c>
      <c r="K508" s="17">
        <f>J508*[1]Detail!I508</f>
        <v>39182</v>
      </c>
      <c r="L508" s="9"/>
    </row>
    <row r="509" spans="1:12">
      <c r="A509" s="8" t="s">
        <v>2002</v>
      </c>
      <c r="B509" s="9" t="s">
        <v>2003</v>
      </c>
      <c r="C509" s="9" t="s">
        <v>2004</v>
      </c>
      <c r="D509" s="9" t="s">
        <v>2005</v>
      </c>
      <c r="E509" s="9" t="s">
        <v>76</v>
      </c>
      <c r="F509" s="11" t="s">
        <v>54</v>
      </c>
      <c r="G509" s="11" t="s">
        <v>20</v>
      </c>
      <c r="H509" s="9" t="s">
        <v>21</v>
      </c>
      <c r="I509" s="15">
        <v>1</v>
      </c>
      <c r="J509" s="17">
        <f>[1]Detail!M509+[1]Detail!N509</f>
        <v>287872</v>
      </c>
      <c r="K509" s="17">
        <f>J509*[1]Detail!I509</f>
        <v>287872</v>
      </c>
      <c r="L509" s="9"/>
    </row>
    <row r="510" ht="23" spans="1:12">
      <c r="A510" s="8" t="s">
        <v>2006</v>
      </c>
      <c r="B510" s="9" t="s">
        <v>2007</v>
      </c>
      <c r="C510" s="9" t="s">
        <v>2008</v>
      </c>
      <c r="D510" s="9" t="s">
        <v>2009</v>
      </c>
      <c r="E510" s="9" t="s">
        <v>2010</v>
      </c>
      <c r="F510" s="11" t="s">
        <v>19</v>
      </c>
      <c r="G510" s="11" t="s">
        <v>36</v>
      </c>
      <c r="H510" s="9" t="s">
        <v>42</v>
      </c>
      <c r="I510" s="15">
        <v>1</v>
      </c>
      <c r="J510" s="17">
        <f>[1]Detail!M510+[1]Detail!N510</f>
        <v>41860</v>
      </c>
      <c r="K510" s="17">
        <f>J510*[1]Detail!I510</f>
        <v>41860</v>
      </c>
      <c r="L510" s="9"/>
    </row>
    <row r="511" ht="23" spans="1:12">
      <c r="A511" s="8" t="s">
        <v>2011</v>
      </c>
      <c r="B511" s="9" t="s">
        <v>2012</v>
      </c>
      <c r="C511" s="9" t="s">
        <v>2013</v>
      </c>
      <c r="D511" s="9" t="s">
        <v>2014</v>
      </c>
      <c r="E511" s="9" t="s">
        <v>606</v>
      </c>
      <c r="F511" s="11" t="s">
        <v>54</v>
      </c>
      <c r="G511" s="11" t="s">
        <v>41</v>
      </c>
      <c r="H511" s="9" t="s">
        <v>21</v>
      </c>
      <c r="I511" s="15">
        <v>1</v>
      </c>
      <c r="J511" s="17">
        <f>[1]Detail!M511+[1]Detail!N511</f>
        <v>188474</v>
      </c>
      <c r="K511" s="17">
        <f>J511*[1]Detail!I511</f>
        <v>188474</v>
      </c>
      <c r="L511" s="9"/>
    </row>
    <row r="512" ht="23" spans="1:12">
      <c r="A512" s="8" t="s">
        <v>2015</v>
      </c>
      <c r="B512" s="9" t="s">
        <v>2016</v>
      </c>
      <c r="C512" s="9" t="s">
        <v>2017</v>
      </c>
      <c r="D512" s="9" t="s">
        <v>2018</v>
      </c>
      <c r="E512" s="9" t="s">
        <v>204</v>
      </c>
      <c r="F512" s="11" t="s">
        <v>54</v>
      </c>
      <c r="G512" s="11" t="s">
        <v>36</v>
      </c>
      <c r="H512" s="9" t="s">
        <v>42</v>
      </c>
      <c r="I512" s="15">
        <v>1</v>
      </c>
      <c r="J512" s="17">
        <f>[1]Detail!M512+[1]Detail!N512</f>
        <v>94250</v>
      </c>
      <c r="K512" s="17">
        <f>J512*[1]Detail!I512</f>
        <v>94250</v>
      </c>
      <c r="L512" s="9"/>
    </row>
    <row r="513" ht="23" spans="1:12">
      <c r="A513" s="8" t="s">
        <v>2019</v>
      </c>
      <c r="B513" s="9" t="s">
        <v>2020</v>
      </c>
      <c r="C513" s="9" t="s">
        <v>2021</v>
      </c>
      <c r="D513" s="9" t="s">
        <v>2022</v>
      </c>
      <c r="E513" s="9" t="s">
        <v>85</v>
      </c>
      <c r="F513" s="11" t="s">
        <v>35</v>
      </c>
      <c r="G513" s="11" t="s">
        <v>41</v>
      </c>
      <c r="H513" s="9" t="s">
        <v>42</v>
      </c>
      <c r="I513" s="15">
        <v>1</v>
      </c>
      <c r="J513" s="17">
        <f>[1]Detail!M513+[1]Detail!N513</f>
        <v>293774</v>
      </c>
      <c r="K513" s="17">
        <f>J513*[1]Detail!I513</f>
        <v>293774</v>
      </c>
      <c r="L513" s="9"/>
    </row>
    <row r="514" ht="23" spans="1:12">
      <c r="A514" s="8" t="s">
        <v>2023</v>
      </c>
      <c r="B514" s="9" t="s">
        <v>2024</v>
      </c>
      <c r="C514" s="9" t="s">
        <v>2025</v>
      </c>
      <c r="D514" s="9" t="s">
        <v>2026</v>
      </c>
      <c r="E514" s="9" t="s">
        <v>606</v>
      </c>
      <c r="F514" s="11" t="s">
        <v>54</v>
      </c>
      <c r="G514" s="11" t="s">
        <v>20</v>
      </c>
      <c r="H514" s="9" t="s">
        <v>21</v>
      </c>
      <c r="I514" s="15">
        <v>1</v>
      </c>
      <c r="J514" s="17">
        <f>[1]Detail!M514+[1]Detail!N514</f>
        <v>148122</v>
      </c>
      <c r="K514" s="17">
        <f>J514*[1]Detail!I514</f>
        <v>148122</v>
      </c>
      <c r="L514" s="9"/>
    </row>
    <row r="515" ht="34.5" spans="1:12">
      <c r="A515" s="8" t="s">
        <v>2027</v>
      </c>
      <c r="B515" s="9" t="s">
        <v>2028</v>
      </c>
      <c r="C515" s="9" t="s">
        <v>2029</v>
      </c>
      <c r="D515" s="9" t="s">
        <v>2030</v>
      </c>
      <c r="E515" s="9" t="s">
        <v>2031</v>
      </c>
      <c r="F515" s="11" t="s">
        <v>54</v>
      </c>
      <c r="G515" s="11" t="s">
        <v>20</v>
      </c>
      <c r="H515" s="9" t="s">
        <v>21</v>
      </c>
      <c r="I515" s="15">
        <v>1</v>
      </c>
      <c r="J515" s="17">
        <f>[1]Detail!M515+[1]Detail!N515</f>
        <v>381914</v>
      </c>
      <c r="K515" s="17">
        <f>J515*[1]Detail!I515</f>
        <v>381914</v>
      </c>
      <c r="L515" s="9"/>
    </row>
    <row r="516" ht="23" spans="1:12">
      <c r="A516" s="8" t="s">
        <v>2032</v>
      </c>
      <c r="B516" s="9" t="s">
        <v>2033</v>
      </c>
      <c r="C516" s="9" t="s">
        <v>2034</v>
      </c>
      <c r="D516" s="9" t="s">
        <v>2035</v>
      </c>
      <c r="E516" s="9" t="s">
        <v>457</v>
      </c>
      <c r="F516" s="11" t="s">
        <v>19</v>
      </c>
      <c r="G516" s="11" t="s">
        <v>36</v>
      </c>
      <c r="H516" s="9" t="s">
        <v>42</v>
      </c>
      <c r="I516" s="15">
        <v>1</v>
      </c>
      <c r="J516" s="17">
        <f>[1]Detail!M516+[1]Detail!N516</f>
        <v>218166</v>
      </c>
      <c r="K516" s="17">
        <f>J516*[1]Detail!I516</f>
        <v>218166</v>
      </c>
      <c r="L516" s="9"/>
    </row>
    <row r="517" ht="23" spans="1:12">
      <c r="A517" s="8" t="s">
        <v>2036</v>
      </c>
      <c r="B517" s="9" t="s">
        <v>2037</v>
      </c>
      <c r="C517" s="9" t="s">
        <v>2038</v>
      </c>
      <c r="D517" s="9" t="s">
        <v>2039</v>
      </c>
      <c r="E517" s="9" t="s">
        <v>606</v>
      </c>
      <c r="F517" s="11" t="s">
        <v>54</v>
      </c>
      <c r="G517" s="11" t="s">
        <v>41</v>
      </c>
      <c r="H517" s="9" t="s">
        <v>42</v>
      </c>
      <c r="I517" s="15">
        <v>1</v>
      </c>
      <c r="J517" s="17">
        <f>[1]Detail!M517+[1]Detail!N517</f>
        <v>48490</v>
      </c>
      <c r="K517" s="17">
        <f>J517*[1]Detail!I517</f>
        <v>48490</v>
      </c>
      <c r="L517" s="9"/>
    </row>
    <row r="518" ht="34.5" spans="1:12">
      <c r="A518" s="8" t="s">
        <v>2040</v>
      </c>
      <c r="B518" s="9" t="s">
        <v>2041</v>
      </c>
      <c r="C518" s="9" t="s">
        <v>2042</v>
      </c>
      <c r="D518" s="9" t="s">
        <v>2043</v>
      </c>
      <c r="E518" s="9" t="s">
        <v>179</v>
      </c>
      <c r="F518" s="11" t="s">
        <v>162</v>
      </c>
      <c r="G518" s="11" t="s">
        <v>20</v>
      </c>
      <c r="H518" s="9" t="s">
        <v>42</v>
      </c>
      <c r="I518" s="15">
        <v>1</v>
      </c>
      <c r="J518" s="17">
        <f>[1]Detail!M518+[1]Detail!N518</f>
        <v>148096</v>
      </c>
      <c r="K518" s="17">
        <f>J518*[1]Detail!I518</f>
        <v>148096</v>
      </c>
      <c r="L518" s="9"/>
    </row>
    <row r="519" spans="1:12">
      <c r="A519" s="8" t="s">
        <v>2044</v>
      </c>
      <c r="B519" s="9" t="s">
        <v>2045</v>
      </c>
      <c r="C519" s="9" t="s">
        <v>2046</v>
      </c>
      <c r="D519" s="9" t="s">
        <v>2047</v>
      </c>
      <c r="E519" s="9" t="s">
        <v>2010</v>
      </c>
      <c r="F519" s="11" t="s">
        <v>19</v>
      </c>
      <c r="G519" s="11" t="s">
        <v>20</v>
      </c>
      <c r="H519" s="9" t="s">
        <v>42</v>
      </c>
      <c r="I519" s="15">
        <v>1</v>
      </c>
      <c r="J519" s="17">
        <f>[1]Detail!M519+[1]Detail!N519</f>
        <v>50674</v>
      </c>
      <c r="K519" s="17">
        <f>J519*[1]Detail!I519</f>
        <v>50674</v>
      </c>
      <c r="L519" s="9"/>
    </row>
    <row r="520" ht="23" spans="1:12">
      <c r="A520" s="8" t="s">
        <v>2048</v>
      </c>
      <c r="B520" s="9" t="s">
        <v>2049</v>
      </c>
      <c r="C520" s="9" t="s">
        <v>2050</v>
      </c>
      <c r="D520" s="9" t="s">
        <v>2051</v>
      </c>
      <c r="E520" s="9" t="s">
        <v>204</v>
      </c>
      <c r="F520" s="11" t="s">
        <v>54</v>
      </c>
      <c r="G520" s="11" t="s">
        <v>41</v>
      </c>
      <c r="H520" s="9" t="s">
        <v>21</v>
      </c>
      <c r="I520" s="15">
        <v>1</v>
      </c>
      <c r="J520" s="17">
        <f>[1]Detail!M520+[1]Detail!N520</f>
        <v>121186</v>
      </c>
      <c r="K520" s="17">
        <f>J520*[1]Detail!I520</f>
        <v>121186</v>
      </c>
      <c r="L520" s="9"/>
    </row>
    <row r="521" spans="1:12">
      <c r="A521" s="8"/>
      <c r="B521" s="9"/>
      <c r="C521" s="9"/>
      <c r="D521" s="10" t="s">
        <v>2052</v>
      </c>
      <c r="E521" s="9"/>
      <c r="F521" s="11"/>
      <c r="G521" s="11"/>
      <c r="H521" s="9"/>
      <c r="I521" s="15"/>
      <c r="J521" s="17"/>
      <c r="K521" s="17"/>
      <c r="L521" s="9"/>
    </row>
    <row r="522" ht="46" spans="1:12">
      <c r="A522" s="8"/>
      <c r="B522" s="9"/>
      <c r="C522" s="9"/>
      <c r="D522" s="10" t="s">
        <v>2053</v>
      </c>
      <c r="E522" s="9"/>
      <c r="F522" s="11"/>
      <c r="G522" s="11"/>
      <c r="H522" s="9"/>
      <c r="I522" s="15"/>
      <c r="J522" s="17"/>
      <c r="K522" s="17"/>
      <c r="L522" s="9"/>
    </row>
    <row r="523" ht="23" spans="1:12">
      <c r="A523" s="8" t="s">
        <v>2054</v>
      </c>
      <c r="B523" s="9" t="s">
        <v>2055</v>
      </c>
      <c r="C523" s="9" t="s">
        <v>2056</v>
      </c>
      <c r="D523" s="9" t="s">
        <v>2057</v>
      </c>
      <c r="E523" s="9" t="s">
        <v>1506</v>
      </c>
      <c r="F523" s="11" t="s">
        <v>19</v>
      </c>
      <c r="G523" s="11" t="s">
        <v>20</v>
      </c>
      <c r="H523" s="9" t="s">
        <v>21</v>
      </c>
      <c r="I523" s="15">
        <v>1</v>
      </c>
      <c r="J523" s="17">
        <f>[1]Detail!M523+[1]Detail!N523</f>
        <v>320216</v>
      </c>
      <c r="K523" s="17">
        <f>J523*[1]Detail!I523</f>
        <v>320216</v>
      </c>
      <c r="L523" s="9"/>
    </row>
    <row r="524" spans="1:12">
      <c r="A524" s="8" t="s">
        <v>2058</v>
      </c>
      <c r="B524" s="9" t="s">
        <v>2059</v>
      </c>
      <c r="C524" s="9" t="s">
        <v>2060</v>
      </c>
      <c r="D524" s="9" t="s">
        <v>2061</v>
      </c>
      <c r="E524" s="9" t="s">
        <v>76</v>
      </c>
      <c r="F524" s="11" t="s">
        <v>54</v>
      </c>
      <c r="G524" s="11" t="s">
        <v>20</v>
      </c>
      <c r="H524" s="9" t="s">
        <v>42</v>
      </c>
      <c r="I524" s="15">
        <v>1</v>
      </c>
      <c r="J524" s="17">
        <f>[1]Detail!M524+[1]Detail!N524</f>
        <v>146874</v>
      </c>
      <c r="K524" s="17">
        <f>J524*[1]Detail!I524</f>
        <v>146874</v>
      </c>
      <c r="L524" s="9"/>
    </row>
    <row r="525" ht="34.5" spans="1:12">
      <c r="A525" s="8" t="s">
        <v>2062</v>
      </c>
      <c r="B525" s="9" t="s">
        <v>2063</v>
      </c>
      <c r="C525" s="9" t="s">
        <v>2064</v>
      </c>
      <c r="D525" s="9" t="s">
        <v>2065</v>
      </c>
      <c r="E525" s="9" t="s">
        <v>179</v>
      </c>
      <c r="F525" s="11" t="s">
        <v>162</v>
      </c>
      <c r="G525" s="11" t="s">
        <v>20</v>
      </c>
      <c r="H525" s="9" t="s">
        <v>21</v>
      </c>
      <c r="I525" s="15">
        <v>1</v>
      </c>
      <c r="J525" s="17">
        <f>[1]Detail!M525+[1]Detail!N525</f>
        <v>121160</v>
      </c>
      <c r="K525" s="17">
        <f>J525*[1]Detail!I525</f>
        <v>121160</v>
      </c>
      <c r="L525" s="9"/>
    </row>
    <row r="526" ht="23" spans="1:12">
      <c r="A526" s="8" t="s">
        <v>2066</v>
      </c>
      <c r="B526" s="9" t="s">
        <v>2067</v>
      </c>
      <c r="C526" s="9" t="s">
        <v>2068</v>
      </c>
      <c r="D526" s="9" t="s">
        <v>2069</v>
      </c>
      <c r="E526" s="9" t="s">
        <v>76</v>
      </c>
      <c r="F526" s="11" t="s">
        <v>54</v>
      </c>
      <c r="G526" s="11" t="s">
        <v>36</v>
      </c>
      <c r="H526" s="9" t="s">
        <v>21</v>
      </c>
      <c r="I526" s="15">
        <v>1</v>
      </c>
      <c r="J526" s="17">
        <f>[1]Detail!M526+[1]Detail!N526</f>
        <v>264368</v>
      </c>
      <c r="K526" s="17">
        <f>J526*[1]Detail!I526</f>
        <v>264368</v>
      </c>
      <c r="L526" s="9"/>
    </row>
    <row r="527" ht="34.5" spans="1:12">
      <c r="A527" s="8" t="s">
        <v>2070</v>
      </c>
      <c r="B527" s="9" t="s">
        <v>2071</v>
      </c>
      <c r="C527" s="9" t="s">
        <v>2072</v>
      </c>
      <c r="D527" s="9" t="s">
        <v>2073</v>
      </c>
      <c r="E527" s="9" t="s">
        <v>179</v>
      </c>
      <c r="F527" s="11" t="s">
        <v>162</v>
      </c>
      <c r="G527" s="11" t="s">
        <v>20</v>
      </c>
      <c r="H527" s="9" t="s">
        <v>21</v>
      </c>
      <c r="I527" s="15">
        <v>1</v>
      </c>
      <c r="J527" s="17">
        <f>[1]Detail!M527+[1]Detail!N527</f>
        <v>323128</v>
      </c>
      <c r="K527" s="17">
        <f>J527*[1]Detail!I527</f>
        <v>323128</v>
      </c>
      <c r="L527" s="9"/>
    </row>
    <row r="528" ht="23" spans="1:12">
      <c r="A528" s="8" t="s">
        <v>2074</v>
      </c>
      <c r="B528" s="9" t="s">
        <v>2075</v>
      </c>
      <c r="C528" s="9" t="s">
        <v>2076</v>
      </c>
      <c r="D528" s="9" t="s">
        <v>2077</v>
      </c>
      <c r="E528" s="9" t="s">
        <v>76</v>
      </c>
      <c r="F528" s="11" t="s">
        <v>54</v>
      </c>
      <c r="G528" s="11" t="s">
        <v>20</v>
      </c>
      <c r="H528" s="9" t="s">
        <v>42</v>
      </c>
      <c r="I528" s="15">
        <v>1</v>
      </c>
      <c r="J528" s="17">
        <f>[1]Detail!M528+[1]Detail!N528</f>
        <v>140998</v>
      </c>
      <c r="K528" s="17">
        <f>J528*[1]Detail!I528</f>
        <v>140998</v>
      </c>
      <c r="L528" s="9"/>
    </row>
    <row r="529" ht="23" spans="1:12">
      <c r="A529" s="8" t="s">
        <v>2078</v>
      </c>
      <c r="B529" s="9" t="s">
        <v>1735</v>
      </c>
      <c r="C529" s="9" t="s">
        <v>1736</v>
      </c>
      <c r="D529" s="9" t="s">
        <v>1737</v>
      </c>
      <c r="E529" s="9" t="s">
        <v>76</v>
      </c>
      <c r="F529" s="11" t="s">
        <v>54</v>
      </c>
      <c r="G529" s="11" t="s">
        <v>20</v>
      </c>
      <c r="H529" s="9" t="s">
        <v>42</v>
      </c>
      <c r="I529" s="15">
        <v>1</v>
      </c>
      <c r="J529" s="17">
        <f>[1]Detail!M529+[1]Detail!N529</f>
        <v>155688</v>
      </c>
      <c r="K529" s="17">
        <f>J529*[1]Detail!I529</f>
        <v>155688</v>
      </c>
      <c r="L529" s="9"/>
    </row>
    <row r="530" ht="23" spans="1:12">
      <c r="A530" s="8" t="s">
        <v>2079</v>
      </c>
      <c r="B530" s="9" t="s">
        <v>2080</v>
      </c>
      <c r="C530" s="9" t="s">
        <v>2081</v>
      </c>
      <c r="D530" s="9" t="s">
        <v>2082</v>
      </c>
      <c r="E530" s="9" t="s">
        <v>1113</v>
      </c>
      <c r="F530" s="11" t="s">
        <v>19</v>
      </c>
      <c r="G530" s="11" t="s">
        <v>36</v>
      </c>
      <c r="H530" s="9" t="s">
        <v>42</v>
      </c>
      <c r="I530" s="15">
        <v>1</v>
      </c>
      <c r="J530" s="17">
        <f>[1]Detail!M530+[1]Detail!N530</f>
        <v>156260</v>
      </c>
      <c r="K530" s="17">
        <f>J530*[1]Detail!I530</f>
        <v>156260</v>
      </c>
      <c r="L530" s="9"/>
    </row>
    <row r="531" ht="23" spans="1:12">
      <c r="A531" s="8" t="s">
        <v>2083</v>
      </c>
      <c r="B531" s="9" t="s">
        <v>2084</v>
      </c>
      <c r="C531" s="9" t="s">
        <v>2085</v>
      </c>
      <c r="D531" s="9" t="s">
        <v>2086</v>
      </c>
      <c r="E531" s="9" t="s">
        <v>85</v>
      </c>
      <c r="F531" s="11" t="s">
        <v>35</v>
      </c>
      <c r="G531" s="11" t="s">
        <v>41</v>
      </c>
      <c r="H531" s="9" t="s">
        <v>42</v>
      </c>
      <c r="I531" s="15">
        <v>1</v>
      </c>
      <c r="J531" s="17">
        <f>[1]Detail!M531+[1]Detail!N531</f>
        <v>293774</v>
      </c>
      <c r="K531" s="17">
        <f>J531*[1]Detail!I531</f>
        <v>293774</v>
      </c>
      <c r="L531" s="9"/>
    </row>
    <row r="532" ht="46" spans="1:12">
      <c r="A532" s="8" t="s">
        <v>2087</v>
      </c>
      <c r="B532" s="9" t="s">
        <v>2088</v>
      </c>
      <c r="C532" s="9" t="s">
        <v>2089</v>
      </c>
      <c r="D532" s="9" t="s">
        <v>2090</v>
      </c>
      <c r="E532" s="9" t="s">
        <v>638</v>
      </c>
      <c r="F532" s="11" t="s">
        <v>19</v>
      </c>
      <c r="G532" s="11" t="s">
        <v>20</v>
      </c>
      <c r="H532" s="9" t="s">
        <v>21</v>
      </c>
      <c r="I532" s="15">
        <v>1</v>
      </c>
      <c r="J532" s="17">
        <f>[1]Detail!M532+[1]Detail!N532</f>
        <v>646308</v>
      </c>
      <c r="K532" s="17">
        <f>J532*[1]Detail!I532</f>
        <v>646308</v>
      </c>
      <c r="L532" s="9"/>
    </row>
    <row r="533" ht="34.5" spans="1:12">
      <c r="A533" s="8" t="s">
        <v>2091</v>
      </c>
      <c r="B533" s="9" t="s">
        <v>2092</v>
      </c>
      <c r="C533" s="9" t="s">
        <v>2093</v>
      </c>
      <c r="D533" s="9" t="s">
        <v>2094</v>
      </c>
      <c r="E533" s="9" t="s">
        <v>179</v>
      </c>
      <c r="F533" s="11" t="s">
        <v>162</v>
      </c>
      <c r="G533" s="11" t="s">
        <v>20</v>
      </c>
      <c r="H533" s="9" t="s">
        <v>21</v>
      </c>
      <c r="I533" s="15">
        <v>1</v>
      </c>
      <c r="J533" s="17">
        <f>[1]Detail!M533+[1]Detail!N533</f>
        <v>215410</v>
      </c>
      <c r="K533" s="17">
        <f>J533*[1]Detail!I533</f>
        <v>215410</v>
      </c>
      <c r="L533" s="9"/>
    </row>
    <row r="534" ht="23" spans="1:12">
      <c r="A534" s="8" t="s">
        <v>2095</v>
      </c>
      <c r="B534" s="9" t="s">
        <v>1686</v>
      </c>
      <c r="C534" s="9" t="s">
        <v>1687</v>
      </c>
      <c r="D534" s="9" t="s">
        <v>1688</v>
      </c>
      <c r="E534" s="9" t="s">
        <v>1073</v>
      </c>
      <c r="F534" s="11" t="s">
        <v>19</v>
      </c>
      <c r="G534" s="11" t="s">
        <v>36</v>
      </c>
      <c r="H534" s="9" t="s">
        <v>42</v>
      </c>
      <c r="I534" s="15">
        <v>1</v>
      </c>
      <c r="J534" s="17">
        <f>[1]Detail!M534+[1]Detail!N534</f>
        <v>109668</v>
      </c>
      <c r="K534" s="17">
        <f>J534*[1]Detail!I534</f>
        <v>109668</v>
      </c>
      <c r="L534" s="9"/>
    </row>
    <row r="535" ht="23" spans="1:12">
      <c r="A535" s="8" t="s">
        <v>2096</v>
      </c>
      <c r="B535" s="9" t="s">
        <v>2097</v>
      </c>
      <c r="C535" s="9" t="s">
        <v>2098</v>
      </c>
      <c r="D535" s="9" t="s">
        <v>2099</v>
      </c>
      <c r="E535" s="9" t="s">
        <v>1430</v>
      </c>
      <c r="F535" s="11" t="s">
        <v>48</v>
      </c>
      <c r="G535" s="11" t="s">
        <v>36</v>
      </c>
      <c r="H535" s="9" t="s">
        <v>21</v>
      </c>
      <c r="I535" s="15">
        <v>1</v>
      </c>
      <c r="J535" s="17">
        <f>[1]Detail!M535+[1]Detail!N535</f>
        <v>433550</v>
      </c>
      <c r="K535" s="17">
        <f>J535*[1]Detail!I535</f>
        <v>433550</v>
      </c>
      <c r="L535" s="9"/>
    </row>
    <row r="536" ht="23" spans="1:12">
      <c r="A536" s="8" t="s">
        <v>2100</v>
      </c>
      <c r="B536" s="9" t="s">
        <v>2101</v>
      </c>
      <c r="C536" s="9" t="s">
        <v>2102</v>
      </c>
      <c r="D536" s="9" t="s">
        <v>2103</v>
      </c>
      <c r="E536" s="9" t="s">
        <v>267</v>
      </c>
      <c r="F536" s="11" t="s">
        <v>19</v>
      </c>
      <c r="G536" s="11" t="s">
        <v>20</v>
      </c>
      <c r="H536" s="9" t="s">
        <v>21</v>
      </c>
      <c r="I536" s="15">
        <v>1</v>
      </c>
      <c r="J536" s="17">
        <f>[1]Detail!M536+[1]Detail!N536</f>
        <v>235014</v>
      </c>
      <c r="K536" s="17">
        <f>J536*[1]Detail!I536</f>
        <v>235014</v>
      </c>
      <c r="L536" s="9"/>
    </row>
    <row r="537" ht="23" spans="1:12">
      <c r="A537" s="8" t="s">
        <v>2104</v>
      </c>
      <c r="B537" s="9" t="s">
        <v>2105</v>
      </c>
      <c r="C537" s="9" t="s">
        <v>2106</v>
      </c>
      <c r="D537" s="9" t="s">
        <v>2107</v>
      </c>
      <c r="E537" s="9" t="s">
        <v>76</v>
      </c>
      <c r="F537" s="11" t="s">
        <v>54</v>
      </c>
      <c r="G537" s="11" t="s">
        <v>36</v>
      </c>
      <c r="H537" s="9" t="s">
        <v>42</v>
      </c>
      <c r="I537" s="15">
        <v>1</v>
      </c>
      <c r="J537" s="17">
        <f>[1]Detail!M537+[1]Detail!N537</f>
        <v>149812</v>
      </c>
      <c r="K537" s="17">
        <f>J537*[1]Detail!I537</f>
        <v>149812</v>
      </c>
      <c r="L537" s="9"/>
    </row>
    <row r="538" ht="34.5" spans="1:12">
      <c r="A538" s="8" t="s">
        <v>2108</v>
      </c>
      <c r="B538" s="9" t="s">
        <v>2109</v>
      </c>
      <c r="C538" s="9" t="s">
        <v>2110</v>
      </c>
      <c r="D538" s="9" t="s">
        <v>2111</v>
      </c>
      <c r="E538" s="9" t="s">
        <v>179</v>
      </c>
      <c r="F538" s="11" t="s">
        <v>162</v>
      </c>
      <c r="G538" s="11" t="s">
        <v>36</v>
      </c>
      <c r="H538" s="9" t="s">
        <v>42</v>
      </c>
      <c r="I538" s="15">
        <v>1</v>
      </c>
      <c r="J538" s="17">
        <f>[1]Detail!M538+[1]Detail!N538</f>
        <v>175032</v>
      </c>
      <c r="K538" s="17">
        <f>J538*[1]Detail!I538</f>
        <v>175032</v>
      </c>
      <c r="L538" s="9"/>
    </row>
    <row r="539" ht="23" spans="1:12">
      <c r="A539" s="8" t="s">
        <v>2112</v>
      </c>
      <c r="B539" s="9" t="s">
        <v>1325</v>
      </c>
      <c r="C539" s="9" t="s">
        <v>1326</v>
      </c>
      <c r="D539" s="9" t="s">
        <v>1327</v>
      </c>
      <c r="E539" s="9" t="s">
        <v>76</v>
      </c>
      <c r="F539" s="11" t="s">
        <v>54</v>
      </c>
      <c r="G539" s="11" t="s">
        <v>20</v>
      </c>
      <c r="H539" s="9" t="s">
        <v>42</v>
      </c>
      <c r="I539" s="15">
        <v>1</v>
      </c>
      <c r="J539" s="17">
        <f>[1]Detail!M539+[1]Detail!N539</f>
        <v>155688</v>
      </c>
      <c r="K539" s="17">
        <f>J539*[1]Detail!I539</f>
        <v>155688</v>
      </c>
      <c r="L539" s="9"/>
    </row>
    <row r="540" ht="23" spans="1:12">
      <c r="A540" s="8" t="s">
        <v>2113</v>
      </c>
      <c r="B540" s="9" t="s">
        <v>2114</v>
      </c>
      <c r="C540" s="9" t="s">
        <v>2115</v>
      </c>
      <c r="D540" s="9" t="s">
        <v>2116</v>
      </c>
      <c r="E540" s="9" t="s">
        <v>76</v>
      </c>
      <c r="F540" s="11" t="s">
        <v>54</v>
      </c>
      <c r="G540" s="11" t="s">
        <v>36</v>
      </c>
      <c r="H540" s="9" t="s">
        <v>42</v>
      </c>
      <c r="I540" s="15">
        <v>1</v>
      </c>
      <c r="J540" s="17">
        <f>[1]Detail!M540+[1]Detail!N540</f>
        <v>193882</v>
      </c>
      <c r="K540" s="17">
        <f>J540*[1]Detail!I540</f>
        <v>193882</v>
      </c>
      <c r="L540" s="9"/>
    </row>
    <row r="541" ht="34.5" spans="1:12">
      <c r="A541" s="8" t="s">
        <v>2117</v>
      </c>
      <c r="B541" s="9" t="s">
        <v>2118</v>
      </c>
      <c r="C541" s="9" t="s">
        <v>2119</v>
      </c>
      <c r="D541" s="9" t="s">
        <v>2120</v>
      </c>
      <c r="E541" s="9" t="s">
        <v>179</v>
      </c>
      <c r="F541" s="11" t="s">
        <v>162</v>
      </c>
      <c r="G541" s="11" t="s">
        <v>36</v>
      </c>
      <c r="H541" s="9" t="s">
        <v>42</v>
      </c>
      <c r="I541" s="15">
        <v>1</v>
      </c>
      <c r="J541" s="17">
        <f>[1]Detail!M541+[1]Detail!N541</f>
        <v>134628</v>
      </c>
      <c r="K541" s="17">
        <f>J541*[1]Detail!I541</f>
        <v>134628</v>
      </c>
      <c r="L541" s="9"/>
    </row>
    <row r="542" spans="1:12">
      <c r="A542" s="8" t="s">
        <v>2121</v>
      </c>
      <c r="B542" s="9" t="s">
        <v>2122</v>
      </c>
      <c r="C542" s="9" t="s">
        <v>2123</v>
      </c>
      <c r="D542" s="9" t="s">
        <v>2124</v>
      </c>
      <c r="E542" s="9" t="s">
        <v>76</v>
      </c>
      <c r="F542" s="11" t="s">
        <v>54</v>
      </c>
      <c r="G542" s="11" t="s">
        <v>20</v>
      </c>
      <c r="H542" s="9" t="s">
        <v>42</v>
      </c>
      <c r="I542" s="15">
        <v>1</v>
      </c>
      <c r="J542" s="17">
        <f>[1]Detail!M542+[1]Detail!N542</f>
        <v>143936</v>
      </c>
      <c r="K542" s="17">
        <f>J542*[1]Detail!I542</f>
        <v>143936</v>
      </c>
      <c r="L542" s="9"/>
    </row>
    <row r="543" ht="23" spans="1:12">
      <c r="A543" s="8" t="s">
        <v>2125</v>
      </c>
      <c r="B543" s="9" t="s">
        <v>2126</v>
      </c>
      <c r="C543" s="9" t="s">
        <v>2127</v>
      </c>
      <c r="D543" s="9" t="s">
        <v>2128</v>
      </c>
      <c r="E543" s="9" t="s">
        <v>47</v>
      </c>
      <c r="F543" s="11" t="s">
        <v>48</v>
      </c>
      <c r="G543" s="11" t="s">
        <v>36</v>
      </c>
      <c r="H543" s="9" t="s">
        <v>42</v>
      </c>
      <c r="I543" s="15">
        <v>1</v>
      </c>
      <c r="J543" s="17">
        <f>[1]Detail!M543+[1]Detail!N543</f>
        <v>199290</v>
      </c>
      <c r="K543" s="17">
        <f>J543*[1]Detail!I543</f>
        <v>199290</v>
      </c>
      <c r="L543" s="9"/>
    </row>
    <row r="544" ht="23" spans="1:12">
      <c r="A544" s="8" t="s">
        <v>2129</v>
      </c>
      <c r="B544" s="9" t="s">
        <v>2130</v>
      </c>
      <c r="C544" s="9" t="s">
        <v>2131</v>
      </c>
      <c r="D544" s="9" t="s">
        <v>2132</v>
      </c>
      <c r="E544" s="9" t="s">
        <v>76</v>
      </c>
      <c r="F544" s="11" t="s">
        <v>54</v>
      </c>
      <c r="G544" s="11" t="s">
        <v>36</v>
      </c>
      <c r="H544" s="9" t="s">
        <v>42</v>
      </c>
      <c r="I544" s="15">
        <v>1</v>
      </c>
      <c r="J544" s="17">
        <f>[1]Detail!M544+[1]Detail!N544</f>
        <v>193882</v>
      </c>
      <c r="K544" s="17">
        <f>J544*[1]Detail!I544</f>
        <v>193882</v>
      </c>
      <c r="L544" s="9"/>
    </row>
    <row r="545" ht="23" spans="1:12">
      <c r="A545" s="8" t="s">
        <v>2133</v>
      </c>
      <c r="B545" s="9" t="s">
        <v>2134</v>
      </c>
      <c r="C545" s="9" t="s">
        <v>2135</v>
      </c>
      <c r="D545" s="9" t="s">
        <v>2136</v>
      </c>
      <c r="E545" s="9" t="s">
        <v>606</v>
      </c>
      <c r="F545" s="11" t="s">
        <v>54</v>
      </c>
      <c r="G545" s="11" t="s">
        <v>41</v>
      </c>
      <c r="H545" s="9" t="s">
        <v>21</v>
      </c>
      <c r="I545" s="15">
        <v>1</v>
      </c>
      <c r="J545" s="17">
        <f>[1]Detail!M545+[1]Detail!N545</f>
        <v>121186</v>
      </c>
      <c r="K545" s="17">
        <f>J545*[1]Detail!I545</f>
        <v>121186</v>
      </c>
      <c r="L545" s="9"/>
    </row>
    <row r="546" spans="1:12">
      <c r="A546" s="8"/>
      <c r="B546" s="9"/>
      <c r="C546" s="9"/>
      <c r="D546" s="10" t="s">
        <v>2137</v>
      </c>
      <c r="E546" s="9"/>
      <c r="F546" s="11"/>
      <c r="G546" s="11"/>
      <c r="H546" s="9"/>
      <c r="I546" s="15"/>
      <c r="J546" s="17"/>
      <c r="K546" s="17"/>
      <c r="L546" s="9"/>
    </row>
    <row r="547" ht="46" spans="1:12">
      <c r="A547" s="8"/>
      <c r="B547" s="9"/>
      <c r="C547" s="9"/>
      <c r="D547" s="10" t="s">
        <v>2138</v>
      </c>
      <c r="E547" s="9"/>
      <c r="F547" s="11"/>
      <c r="G547" s="11"/>
      <c r="H547" s="9"/>
      <c r="I547" s="15"/>
      <c r="J547" s="17"/>
      <c r="K547" s="17"/>
      <c r="L547" s="9"/>
    </row>
    <row r="548" ht="23" spans="1:12">
      <c r="A548" s="8" t="s">
        <v>2139</v>
      </c>
      <c r="B548" s="9" t="s">
        <v>2140</v>
      </c>
      <c r="C548" s="9" t="s">
        <v>2141</v>
      </c>
      <c r="D548" s="9" t="s">
        <v>2142</v>
      </c>
      <c r="E548" s="9" t="s">
        <v>2143</v>
      </c>
      <c r="F548" s="11" t="s">
        <v>54</v>
      </c>
      <c r="G548" s="11" t="s">
        <v>36</v>
      </c>
      <c r="H548" s="9" t="s">
        <v>42</v>
      </c>
      <c r="I548" s="15">
        <v>1</v>
      </c>
      <c r="J548" s="17">
        <f>[1]Detail!M548+[1]Detail!N548</f>
        <v>53846</v>
      </c>
      <c r="K548" s="17">
        <f>J548*[1]Detail!I548</f>
        <v>53846</v>
      </c>
      <c r="L548" s="9"/>
    </row>
    <row r="549" ht="23" spans="1:12">
      <c r="A549" s="8" t="s">
        <v>2144</v>
      </c>
      <c r="B549" s="9" t="s">
        <v>2145</v>
      </c>
      <c r="C549" s="9" t="s">
        <v>2146</v>
      </c>
      <c r="D549" s="9" t="s">
        <v>2147</v>
      </c>
      <c r="E549" s="9" t="s">
        <v>267</v>
      </c>
      <c r="F549" s="11" t="s">
        <v>19</v>
      </c>
      <c r="G549" s="11" t="s">
        <v>20</v>
      </c>
      <c r="H549" s="9" t="s">
        <v>42</v>
      </c>
      <c r="I549" s="15">
        <v>1</v>
      </c>
      <c r="J549" s="17">
        <f>[1]Detail!M549+[1]Detail!N549</f>
        <v>90922</v>
      </c>
      <c r="K549" s="17">
        <f>J549*[1]Detail!I549</f>
        <v>90922</v>
      </c>
      <c r="L549" s="9"/>
    </row>
    <row r="550" ht="34.5" spans="1:12">
      <c r="A550" s="8" t="s">
        <v>2148</v>
      </c>
      <c r="B550" s="9" t="s">
        <v>2149</v>
      </c>
      <c r="C550" s="9" t="s">
        <v>2150</v>
      </c>
      <c r="D550" s="9" t="s">
        <v>2151</v>
      </c>
      <c r="E550" s="9" t="s">
        <v>2152</v>
      </c>
      <c r="F550" s="11" t="s">
        <v>19</v>
      </c>
      <c r="G550" s="11" t="s">
        <v>41</v>
      </c>
      <c r="H550" s="9" t="s">
        <v>21</v>
      </c>
      <c r="I550" s="15">
        <v>1</v>
      </c>
      <c r="J550" s="17">
        <f>[1]Detail!M550+[1]Detail!N550</f>
        <v>554502</v>
      </c>
      <c r="K550" s="17">
        <f>J550*[1]Detail!I550</f>
        <v>554502</v>
      </c>
      <c r="L550" s="9"/>
    </row>
    <row r="551" ht="46" spans="1:12">
      <c r="A551" s="8" t="s">
        <v>2153</v>
      </c>
      <c r="B551" s="9" t="s">
        <v>2154</v>
      </c>
      <c r="C551" s="9" t="s">
        <v>2155</v>
      </c>
      <c r="D551" s="9" t="s">
        <v>2156</v>
      </c>
      <c r="E551" s="9" t="s">
        <v>34</v>
      </c>
      <c r="F551" s="11" t="s">
        <v>35</v>
      </c>
      <c r="G551" s="11" t="s">
        <v>36</v>
      </c>
      <c r="H551" s="9" t="s">
        <v>21</v>
      </c>
      <c r="I551" s="15">
        <v>1</v>
      </c>
      <c r="J551" s="17">
        <f>[1]Detail!M551+[1]Detail!N551</f>
        <v>431860</v>
      </c>
      <c r="K551" s="17">
        <f>J551*[1]Detail!I551</f>
        <v>431860</v>
      </c>
      <c r="L551" s="9"/>
    </row>
    <row r="552" ht="34.5" spans="1:12">
      <c r="A552" s="8" t="s">
        <v>2157</v>
      </c>
      <c r="B552" s="9" t="s">
        <v>2158</v>
      </c>
      <c r="C552" s="9" t="s">
        <v>2159</v>
      </c>
      <c r="D552" s="9" t="s">
        <v>2160</v>
      </c>
      <c r="E552" s="9" t="s">
        <v>26</v>
      </c>
      <c r="F552" s="11" t="s">
        <v>19</v>
      </c>
      <c r="G552" s="11" t="s">
        <v>41</v>
      </c>
      <c r="H552" s="9" t="s">
        <v>42</v>
      </c>
      <c r="I552" s="15">
        <v>1</v>
      </c>
      <c r="J552" s="17">
        <f>[1]Detail!M552+[1]Detail!N552</f>
        <v>337818</v>
      </c>
      <c r="K552" s="17">
        <f>J552*[1]Detail!I552</f>
        <v>337818</v>
      </c>
      <c r="L552" s="9"/>
    </row>
    <row r="553" ht="46" spans="1:12">
      <c r="A553" s="8" t="s">
        <v>2161</v>
      </c>
      <c r="B553" s="9" t="s">
        <v>2162</v>
      </c>
      <c r="C553" s="9" t="s">
        <v>2163</v>
      </c>
      <c r="D553" s="9" t="s">
        <v>2164</v>
      </c>
      <c r="E553" s="9" t="s">
        <v>34</v>
      </c>
      <c r="F553" s="11" t="s">
        <v>35</v>
      </c>
      <c r="G553" s="11" t="s">
        <v>36</v>
      </c>
      <c r="H553" s="9" t="s">
        <v>21</v>
      </c>
      <c r="I553" s="15">
        <v>1</v>
      </c>
      <c r="J553" s="17">
        <f>[1]Detail!M553+[1]Detail!N553</f>
        <v>444886</v>
      </c>
      <c r="K553" s="17">
        <f>J553*[1]Detail!I553</f>
        <v>444886</v>
      </c>
      <c r="L553" s="9"/>
    </row>
    <row r="554" ht="34.5" spans="1:12">
      <c r="A554" s="8" t="s">
        <v>2165</v>
      </c>
      <c r="B554" s="9" t="s">
        <v>2166</v>
      </c>
      <c r="C554" s="9" t="s">
        <v>2167</v>
      </c>
      <c r="D554" s="9" t="s">
        <v>2168</v>
      </c>
      <c r="E554" s="9" t="s">
        <v>638</v>
      </c>
      <c r="F554" s="11" t="s">
        <v>19</v>
      </c>
      <c r="G554" s="11" t="s">
        <v>36</v>
      </c>
      <c r="H554" s="9" t="s">
        <v>21</v>
      </c>
      <c r="I554" s="15">
        <v>1</v>
      </c>
      <c r="J554" s="17">
        <f>[1]Detail!M554+[1]Detail!N554</f>
        <v>499408</v>
      </c>
      <c r="K554" s="17">
        <f>J554*[1]Detail!I554</f>
        <v>499408</v>
      </c>
      <c r="L554" s="9"/>
    </row>
    <row r="555" ht="23" spans="1:12">
      <c r="A555" s="8" t="s">
        <v>2169</v>
      </c>
      <c r="B555" s="9" t="s">
        <v>2170</v>
      </c>
      <c r="C555" s="9" t="s">
        <v>2171</v>
      </c>
      <c r="D555" s="9" t="s">
        <v>2172</v>
      </c>
      <c r="E555" s="9" t="s">
        <v>428</v>
      </c>
      <c r="F555" s="11" t="s">
        <v>54</v>
      </c>
      <c r="G555" s="11" t="s">
        <v>20</v>
      </c>
      <c r="H555" s="9" t="s">
        <v>21</v>
      </c>
      <c r="I555" s="15">
        <v>1</v>
      </c>
      <c r="J555" s="17">
        <f>[1]Detail!M555+[1]Detail!N555</f>
        <v>633334</v>
      </c>
      <c r="K555" s="17">
        <f>J555*[1]Detail!I555</f>
        <v>633334</v>
      </c>
      <c r="L555" s="9"/>
    </row>
    <row r="556" ht="23" spans="1:12">
      <c r="A556" s="8" t="s">
        <v>2173</v>
      </c>
      <c r="B556" s="9" t="s">
        <v>2170</v>
      </c>
      <c r="C556" s="9" t="s">
        <v>2171</v>
      </c>
      <c r="D556" s="9" t="s">
        <v>2172</v>
      </c>
      <c r="E556" s="9" t="s">
        <v>428</v>
      </c>
      <c r="F556" s="11" t="s">
        <v>54</v>
      </c>
      <c r="G556" s="11" t="s">
        <v>20</v>
      </c>
      <c r="H556" s="9" t="s">
        <v>21</v>
      </c>
      <c r="I556" s="15">
        <v>1</v>
      </c>
      <c r="J556" s="17">
        <f>[1]Detail!M556+[1]Detail!N556</f>
        <v>633334</v>
      </c>
      <c r="K556" s="17">
        <f>J556*[1]Detail!I556</f>
        <v>633334</v>
      </c>
      <c r="L556" s="9"/>
    </row>
    <row r="557" ht="23" spans="1:12">
      <c r="A557" s="8" t="s">
        <v>2174</v>
      </c>
      <c r="B557" s="9" t="s">
        <v>2175</v>
      </c>
      <c r="C557" s="9" t="s">
        <v>2176</v>
      </c>
      <c r="D557" s="9" t="s">
        <v>2177</v>
      </c>
      <c r="E557" s="9" t="s">
        <v>26</v>
      </c>
      <c r="F557" s="11" t="s">
        <v>54</v>
      </c>
      <c r="G557" s="11" t="s">
        <v>20</v>
      </c>
      <c r="H557" s="9" t="s">
        <v>42</v>
      </c>
      <c r="I557" s="15">
        <v>1</v>
      </c>
      <c r="J557" s="17">
        <f>[1]Detail!M557+[1]Detail!N557</f>
        <v>379470</v>
      </c>
      <c r="K557" s="17">
        <f>J557*[1]Detail!I557</f>
        <v>379470</v>
      </c>
      <c r="L557" s="9"/>
    </row>
    <row r="558" ht="34.5" spans="1:12">
      <c r="A558" s="8" t="s">
        <v>2178</v>
      </c>
      <c r="B558" s="9" t="s">
        <v>2179</v>
      </c>
      <c r="C558" s="9" t="s">
        <v>2180</v>
      </c>
      <c r="D558" s="9" t="s">
        <v>2181</v>
      </c>
      <c r="E558" s="9" t="s">
        <v>179</v>
      </c>
      <c r="F558" s="11" t="s">
        <v>162</v>
      </c>
      <c r="G558" s="11" t="s">
        <v>20</v>
      </c>
      <c r="H558" s="9" t="s">
        <v>21</v>
      </c>
      <c r="I558" s="15">
        <v>1</v>
      </c>
      <c r="J558" s="17">
        <f>[1]Detail!M558+[1]Detail!N558</f>
        <v>376974</v>
      </c>
      <c r="K558" s="17">
        <f>J558*[1]Detail!I558</f>
        <v>376974</v>
      </c>
      <c r="L558" s="9"/>
    </row>
    <row r="559" ht="23" spans="1:12">
      <c r="A559" s="8" t="s">
        <v>2182</v>
      </c>
      <c r="B559" s="9" t="s">
        <v>2183</v>
      </c>
      <c r="C559" s="9" t="s">
        <v>2184</v>
      </c>
      <c r="D559" s="9" t="s">
        <v>2185</v>
      </c>
      <c r="E559" s="9" t="s">
        <v>2186</v>
      </c>
      <c r="F559" s="11" t="s">
        <v>19</v>
      </c>
      <c r="G559" s="11" t="s">
        <v>20</v>
      </c>
      <c r="H559" s="9" t="s">
        <v>21</v>
      </c>
      <c r="I559" s="15">
        <v>1</v>
      </c>
      <c r="J559" s="17">
        <f>[1]Detail!M559+[1]Detail!N559</f>
        <v>511654</v>
      </c>
      <c r="K559" s="17">
        <f>J559*[1]Detail!I559</f>
        <v>511654</v>
      </c>
      <c r="L559" s="9"/>
    </row>
    <row r="560" spans="1:12">
      <c r="A560" s="8" t="s">
        <v>2187</v>
      </c>
      <c r="B560" s="9" t="s">
        <v>764</v>
      </c>
      <c r="C560" s="9" t="s">
        <v>765</v>
      </c>
      <c r="D560" s="9" t="s">
        <v>766</v>
      </c>
      <c r="E560" s="9" t="s">
        <v>47</v>
      </c>
      <c r="F560" s="11" t="s">
        <v>48</v>
      </c>
      <c r="G560" s="11" t="s">
        <v>36</v>
      </c>
      <c r="H560" s="9" t="s">
        <v>42</v>
      </c>
      <c r="I560" s="15">
        <v>1</v>
      </c>
      <c r="J560" s="17">
        <f>[1]Detail!M560+[1]Detail!N560</f>
        <v>262574</v>
      </c>
      <c r="K560" s="17">
        <f>J560*[1]Detail!I560</f>
        <v>262574</v>
      </c>
      <c r="L560" s="9"/>
    </row>
    <row r="561" ht="23" spans="1:12">
      <c r="A561" s="8" t="s">
        <v>2188</v>
      </c>
      <c r="B561" s="9" t="s">
        <v>2189</v>
      </c>
      <c r="C561" s="9" t="s">
        <v>2190</v>
      </c>
      <c r="D561" s="9" t="s">
        <v>2191</v>
      </c>
      <c r="E561" s="9" t="s">
        <v>26</v>
      </c>
      <c r="F561" s="11" t="s">
        <v>19</v>
      </c>
      <c r="G561" s="11" t="s">
        <v>36</v>
      </c>
      <c r="H561" s="9" t="s">
        <v>42</v>
      </c>
      <c r="I561" s="15">
        <v>1</v>
      </c>
      <c r="J561" s="17">
        <f>[1]Detail!M561+[1]Detail!N561</f>
        <v>281528</v>
      </c>
      <c r="K561" s="17">
        <f>J561*[1]Detail!I561</f>
        <v>281528</v>
      </c>
      <c r="L561" s="9"/>
    </row>
    <row r="562" ht="46" spans="1:12">
      <c r="A562" s="8" t="s">
        <v>2192</v>
      </c>
      <c r="B562" s="9" t="s">
        <v>2193</v>
      </c>
      <c r="C562" s="9" t="s">
        <v>2194</v>
      </c>
      <c r="D562" s="9" t="s">
        <v>2195</v>
      </c>
      <c r="E562" s="9" t="s">
        <v>478</v>
      </c>
      <c r="F562" s="11" t="s">
        <v>19</v>
      </c>
      <c r="G562" s="11" t="s">
        <v>20</v>
      </c>
      <c r="H562" s="9" t="s">
        <v>42</v>
      </c>
      <c r="I562" s="15">
        <v>1</v>
      </c>
      <c r="J562" s="17">
        <f>[1]Detail!M562+[1]Detail!N562</f>
        <v>323128</v>
      </c>
      <c r="K562" s="17">
        <f>J562*[1]Detail!I562</f>
        <v>323128</v>
      </c>
      <c r="L562" s="9"/>
    </row>
    <row r="563" ht="34.5" spans="1:12">
      <c r="A563" s="8" t="s">
        <v>2196</v>
      </c>
      <c r="B563" s="9" t="s">
        <v>2197</v>
      </c>
      <c r="C563" s="9" t="s">
        <v>2198</v>
      </c>
      <c r="D563" s="9" t="s">
        <v>2199</v>
      </c>
      <c r="E563" s="9" t="s">
        <v>1315</v>
      </c>
      <c r="F563" s="11" t="s">
        <v>19</v>
      </c>
      <c r="G563" s="11" t="s">
        <v>20</v>
      </c>
      <c r="H563" s="9" t="s">
        <v>42</v>
      </c>
      <c r="I563" s="15">
        <v>1</v>
      </c>
      <c r="J563" s="17">
        <f>[1]Detail!M563+[1]Detail!N563</f>
        <v>471016</v>
      </c>
      <c r="K563" s="17">
        <f>J563*[1]Detail!I563</f>
        <v>471016</v>
      </c>
      <c r="L563" s="9"/>
    </row>
    <row r="564" ht="23" spans="1:12">
      <c r="A564" s="8" t="s">
        <v>2200</v>
      </c>
      <c r="B564" s="9" t="s">
        <v>2201</v>
      </c>
      <c r="C564" s="9" t="s">
        <v>2202</v>
      </c>
      <c r="D564" s="9" t="s">
        <v>2203</v>
      </c>
      <c r="E564" s="9" t="s">
        <v>76</v>
      </c>
      <c r="F564" s="11" t="s">
        <v>54</v>
      </c>
      <c r="G564" s="11" t="s">
        <v>20</v>
      </c>
      <c r="H564" s="9" t="s">
        <v>21</v>
      </c>
      <c r="I564" s="15">
        <v>1</v>
      </c>
      <c r="J564" s="17">
        <f>[1]Detail!M564+[1]Detail!N564</f>
        <v>558168</v>
      </c>
      <c r="K564" s="17">
        <f>J564*[1]Detail!I564</f>
        <v>558168</v>
      </c>
      <c r="L564" s="9"/>
    </row>
    <row r="565" ht="34.5" spans="1:12">
      <c r="A565" s="8" t="s">
        <v>2204</v>
      </c>
      <c r="B565" s="9" t="s">
        <v>2205</v>
      </c>
      <c r="C565" s="9" t="s">
        <v>2206</v>
      </c>
      <c r="D565" s="9" t="s">
        <v>2207</v>
      </c>
      <c r="E565" s="9" t="s">
        <v>76</v>
      </c>
      <c r="F565" s="11" t="s">
        <v>54</v>
      </c>
      <c r="G565" s="11" t="s">
        <v>20</v>
      </c>
      <c r="H565" s="9" t="s">
        <v>42</v>
      </c>
      <c r="I565" s="15">
        <v>1</v>
      </c>
      <c r="J565" s="17">
        <f>[1]Detail!M565+[1]Detail!N565</f>
        <v>202670</v>
      </c>
      <c r="K565" s="17">
        <f>J565*[1]Detail!I565</f>
        <v>202670</v>
      </c>
      <c r="L565" s="9"/>
    </row>
    <row r="566" ht="34.5" spans="1:12">
      <c r="A566" s="8" t="s">
        <v>2208</v>
      </c>
      <c r="B566" s="9" t="s">
        <v>2209</v>
      </c>
      <c r="C566" s="9" t="s">
        <v>2210</v>
      </c>
      <c r="D566" s="9" t="s">
        <v>2211</v>
      </c>
      <c r="E566" s="9" t="s">
        <v>34</v>
      </c>
      <c r="F566" s="11" t="s">
        <v>35</v>
      </c>
      <c r="G566" s="11" t="s">
        <v>36</v>
      </c>
      <c r="H566" s="9" t="s">
        <v>21</v>
      </c>
      <c r="I566" s="15">
        <v>1</v>
      </c>
      <c r="J566" s="17">
        <f>[1]Detail!M566+[1]Detail!N566</f>
        <v>440674</v>
      </c>
      <c r="K566" s="17">
        <f>J566*[1]Detail!I566</f>
        <v>440674</v>
      </c>
      <c r="L566" s="9"/>
    </row>
    <row r="567" ht="34.5" spans="1:12">
      <c r="A567" s="8" t="s">
        <v>2212</v>
      </c>
      <c r="B567" s="9" t="s">
        <v>2213</v>
      </c>
      <c r="C567" s="9" t="s">
        <v>2214</v>
      </c>
      <c r="D567" s="9" t="s">
        <v>2215</v>
      </c>
      <c r="E567" s="9" t="s">
        <v>1315</v>
      </c>
      <c r="F567" s="11" t="s">
        <v>19</v>
      </c>
      <c r="G567" s="11" t="s">
        <v>20</v>
      </c>
      <c r="H567" s="9" t="s">
        <v>42</v>
      </c>
      <c r="I567" s="15">
        <v>1</v>
      </c>
      <c r="J567" s="17">
        <f>[1]Detail!M567+[1]Detail!N567</f>
        <v>168688</v>
      </c>
      <c r="K567" s="17">
        <f>J567*[1]Detail!I567</f>
        <v>168688</v>
      </c>
      <c r="L567" s="9"/>
    </row>
    <row r="568" ht="34.5" spans="1:12">
      <c r="A568" s="8" t="s">
        <v>2216</v>
      </c>
      <c r="B568" s="9" t="s">
        <v>2217</v>
      </c>
      <c r="C568" s="9" t="s">
        <v>2218</v>
      </c>
      <c r="D568" s="9" t="s">
        <v>2219</v>
      </c>
      <c r="E568" s="9" t="s">
        <v>2186</v>
      </c>
      <c r="F568" s="11" t="s">
        <v>19</v>
      </c>
      <c r="G568" s="11" t="s">
        <v>36</v>
      </c>
      <c r="H568" s="9" t="s">
        <v>42</v>
      </c>
      <c r="I568" s="15">
        <v>1</v>
      </c>
      <c r="J568" s="17">
        <f>[1]Detail!M568+[1]Detail!N568</f>
        <v>379470</v>
      </c>
      <c r="K568" s="17">
        <f>J568*[1]Detail!I568</f>
        <v>379470</v>
      </c>
      <c r="L568" s="9"/>
    </row>
    <row r="569" ht="46" spans="1:12">
      <c r="A569" s="8" t="s">
        <v>2220</v>
      </c>
      <c r="B569" s="9" t="s">
        <v>2221</v>
      </c>
      <c r="C569" s="9" t="s">
        <v>2222</v>
      </c>
      <c r="D569" s="9" t="s">
        <v>2223</v>
      </c>
      <c r="E569" s="9" t="s">
        <v>1361</v>
      </c>
      <c r="F569" s="11" t="s">
        <v>54</v>
      </c>
      <c r="G569" s="11" t="s">
        <v>41</v>
      </c>
      <c r="H569" s="9" t="s">
        <v>42</v>
      </c>
      <c r="I569" s="15">
        <v>1</v>
      </c>
      <c r="J569" s="17">
        <f>[1]Detail!M569+[1]Detail!N569</f>
        <v>243802</v>
      </c>
      <c r="K569" s="17">
        <f>J569*[1]Detail!I569</f>
        <v>243802</v>
      </c>
      <c r="L569" s="9"/>
    </row>
    <row r="570" ht="34.5" spans="1:12">
      <c r="A570" s="8" t="s">
        <v>2224</v>
      </c>
      <c r="B570" s="9" t="s">
        <v>2225</v>
      </c>
      <c r="C570" s="9" t="s">
        <v>2226</v>
      </c>
      <c r="D570" s="9" t="s">
        <v>2227</v>
      </c>
      <c r="E570" s="9" t="s">
        <v>276</v>
      </c>
      <c r="F570" s="11" t="s">
        <v>19</v>
      </c>
      <c r="G570" s="11" t="s">
        <v>20</v>
      </c>
      <c r="H570" s="9" t="s">
        <v>21</v>
      </c>
      <c r="I570" s="15">
        <v>1</v>
      </c>
      <c r="J570" s="17">
        <f>[1]Detail!M570+[1]Detail!N570</f>
        <v>129246</v>
      </c>
      <c r="K570" s="17">
        <f>J570*[1]Detail!I570</f>
        <v>129246</v>
      </c>
      <c r="L570" s="9"/>
    </row>
    <row r="571" ht="23" spans="1:12">
      <c r="A571" s="8" t="s">
        <v>2228</v>
      </c>
      <c r="B571" s="9" t="s">
        <v>2229</v>
      </c>
      <c r="C571" s="9" t="s">
        <v>2230</v>
      </c>
      <c r="D571" s="9" t="s">
        <v>2231</v>
      </c>
      <c r="E571" s="9" t="s">
        <v>2232</v>
      </c>
      <c r="F571" s="11" t="s">
        <v>19</v>
      </c>
      <c r="G571" s="11" t="s">
        <v>20</v>
      </c>
      <c r="H571" s="9" t="s">
        <v>42</v>
      </c>
      <c r="I571" s="15">
        <v>1</v>
      </c>
      <c r="J571" s="17">
        <f>[1]Detail!M571+[1]Detail!N571</f>
        <v>116532</v>
      </c>
      <c r="K571" s="17">
        <f>J571*[1]Detail!I571</f>
        <v>116532</v>
      </c>
      <c r="L571" s="9"/>
    </row>
    <row r="572" ht="23" spans="1:12">
      <c r="A572" s="8" t="s">
        <v>2233</v>
      </c>
      <c r="B572" s="9" t="s">
        <v>2234</v>
      </c>
      <c r="C572" s="9" t="s">
        <v>2235</v>
      </c>
      <c r="D572" s="9" t="s">
        <v>2236</v>
      </c>
      <c r="E572" s="9" t="s">
        <v>478</v>
      </c>
      <c r="F572" s="11" t="s">
        <v>19</v>
      </c>
      <c r="G572" s="11" t="s">
        <v>20</v>
      </c>
      <c r="H572" s="9" t="s">
        <v>21</v>
      </c>
      <c r="I572" s="15">
        <v>1</v>
      </c>
      <c r="J572" s="17">
        <f>[1]Detail!M572+[1]Detail!N572</f>
        <v>484692</v>
      </c>
      <c r="K572" s="17">
        <f>J572*[1]Detail!I572</f>
        <v>484692</v>
      </c>
      <c r="L572" s="9"/>
    </row>
    <row r="573" spans="1:12">
      <c r="A573" s="8" t="s">
        <v>2237</v>
      </c>
      <c r="B573" s="9" t="s">
        <v>2238</v>
      </c>
      <c r="C573" s="9" t="s">
        <v>2239</v>
      </c>
      <c r="D573" s="9" t="s">
        <v>2240</v>
      </c>
      <c r="E573" s="9" t="s">
        <v>638</v>
      </c>
      <c r="F573" s="11" t="s">
        <v>19</v>
      </c>
      <c r="G573" s="11" t="s">
        <v>36</v>
      </c>
      <c r="H573" s="9" t="s">
        <v>21</v>
      </c>
      <c r="I573" s="15">
        <v>1</v>
      </c>
      <c r="J573" s="17">
        <f>[1]Detail!M573+[1]Detail!N573</f>
        <v>587548</v>
      </c>
      <c r="K573" s="17">
        <f>J573*[1]Detail!I573</f>
        <v>587548</v>
      </c>
      <c r="L573" s="9"/>
    </row>
    <row r="574" ht="23" spans="1:12">
      <c r="A574" s="8" t="s">
        <v>2241</v>
      </c>
      <c r="B574" s="9" t="s">
        <v>2242</v>
      </c>
      <c r="C574" s="9" t="s">
        <v>2243</v>
      </c>
      <c r="D574" s="9" t="s">
        <v>2244</v>
      </c>
      <c r="E574" s="9" t="s">
        <v>267</v>
      </c>
      <c r="F574" s="11" t="s">
        <v>19</v>
      </c>
      <c r="G574" s="11" t="s">
        <v>20</v>
      </c>
      <c r="H574" s="9" t="s">
        <v>21</v>
      </c>
      <c r="I574" s="15">
        <v>1</v>
      </c>
      <c r="J574" s="17">
        <f>[1]Detail!M574+[1]Detail!N574</f>
        <v>343720</v>
      </c>
      <c r="K574" s="17">
        <f>J574*[1]Detail!I574</f>
        <v>343720</v>
      </c>
      <c r="L574" s="9"/>
    </row>
    <row r="575" ht="34.5" spans="1:12">
      <c r="A575" s="8" t="s">
        <v>2245</v>
      </c>
      <c r="B575" s="9" t="s">
        <v>2246</v>
      </c>
      <c r="C575" s="9" t="s">
        <v>2247</v>
      </c>
      <c r="D575" s="9" t="s">
        <v>2248</v>
      </c>
      <c r="E575" s="9" t="s">
        <v>179</v>
      </c>
      <c r="F575" s="11" t="s">
        <v>162</v>
      </c>
      <c r="G575" s="11" t="s">
        <v>20</v>
      </c>
      <c r="H575" s="9" t="s">
        <v>42</v>
      </c>
      <c r="I575" s="15">
        <v>1</v>
      </c>
      <c r="J575" s="17">
        <f>[1]Detail!M575+[1]Detail!N575</f>
        <v>201942</v>
      </c>
      <c r="K575" s="17">
        <f>J575*[1]Detail!I575</f>
        <v>201942</v>
      </c>
      <c r="L575" s="9"/>
    </row>
    <row r="576" ht="34.5" spans="1:12">
      <c r="A576" s="8" t="s">
        <v>2249</v>
      </c>
      <c r="B576" s="9" t="s">
        <v>91</v>
      </c>
      <c r="C576" s="9" t="s">
        <v>92</v>
      </c>
      <c r="D576" s="9" t="s">
        <v>93</v>
      </c>
      <c r="E576" s="9" t="s">
        <v>18</v>
      </c>
      <c r="F576" s="11" t="s">
        <v>19</v>
      </c>
      <c r="G576" s="11" t="s">
        <v>36</v>
      </c>
      <c r="H576" s="9" t="s">
        <v>42</v>
      </c>
      <c r="I576" s="15">
        <v>1</v>
      </c>
      <c r="J576" s="17">
        <f>[1]Detail!M576+[1]Detail!N576</f>
        <v>305526</v>
      </c>
      <c r="K576" s="17">
        <f>J576*[1]Detail!I576</f>
        <v>305526</v>
      </c>
      <c r="L576" s="9"/>
    </row>
    <row r="577" spans="1:12">
      <c r="A577" s="8" t="s">
        <v>2250</v>
      </c>
      <c r="B577" s="9" t="s">
        <v>2251</v>
      </c>
      <c r="C577" s="9" t="s">
        <v>2252</v>
      </c>
      <c r="D577" s="9" t="s">
        <v>2253</v>
      </c>
      <c r="E577" s="9" t="s">
        <v>76</v>
      </c>
      <c r="F577" s="11" t="s">
        <v>54</v>
      </c>
      <c r="G577" s="11" t="s">
        <v>20</v>
      </c>
      <c r="H577" s="9" t="s">
        <v>42</v>
      </c>
      <c r="I577" s="15">
        <v>1</v>
      </c>
      <c r="J577" s="17">
        <f>[1]Detail!M577+[1]Detail!N577</f>
        <v>146874</v>
      </c>
      <c r="K577" s="17">
        <f>J577*[1]Detail!I577</f>
        <v>146874</v>
      </c>
      <c r="L577" s="9"/>
    </row>
    <row r="578" spans="1:12">
      <c r="A578" s="8" t="s">
        <v>2254</v>
      </c>
      <c r="B578" s="9" t="s">
        <v>2255</v>
      </c>
      <c r="C578" s="9" t="s">
        <v>2256</v>
      </c>
      <c r="D578" s="9" t="s">
        <v>2257</v>
      </c>
      <c r="E578" s="9" t="s">
        <v>478</v>
      </c>
      <c r="F578" s="11" t="s">
        <v>19</v>
      </c>
      <c r="G578" s="11" t="s">
        <v>20</v>
      </c>
      <c r="H578" s="9" t="s">
        <v>42</v>
      </c>
      <c r="I578" s="15">
        <v>1</v>
      </c>
      <c r="J578" s="17">
        <f>[1]Detail!M578+[1]Detail!N578</f>
        <v>323128</v>
      </c>
      <c r="K578" s="17">
        <f>J578*[1]Detail!I578</f>
        <v>323128</v>
      </c>
      <c r="L578" s="9"/>
    </row>
    <row r="579" spans="1:12">
      <c r="A579" s="8" t="s">
        <v>2258</v>
      </c>
      <c r="B579" s="9" t="s">
        <v>2259</v>
      </c>
      <c r="C579" s="9" t="s">
        <v>2260</v>
      </c>
      <c r="D579" s="9" t="s">
        <v>2261</v>
      </c>
      <c r="E579" s="9" t="s">
        <v>76</v>
      </c>
      <c r="F579" s="11" t="s">
        <v>54</v>
      </c>
      <c r="G579" s="11" t="s">
        <v>20</v>
      </c>
      <c r="H579" s="9" t="s">
        <v>21</v>
      </c>
      <c r="I579" s="15">
        <v>1</v>
      </c>
      <c r="J579" s="17">
        <f>[1]Detail!M579+[1]Detail!N579</f>
        <v>308464</v>
      </c>
      <c r="K579" s="17">
        <f>J579*[1]Detail!I579</f>
        <v>308464</v>
      </c>
      <c r="L579" s="9"/>
    </row>
    <row r="580" ht="34.5" spans="1:12">
      <c r="A580" s="8" t="s">
        <v>2262</v>
      </c>
      <c r="B580" s="9" t="s">
        <v>2263</v>
      </c>
      <c r="C580" s="9" t="s">
        <v>2264</v>
      </c>
      <c r="D580" s="9" t="s">
        <v>2265</v>
      </c>
      <c r="E580" s="9" t="s">
        <v>356</v>
      </c>
      <c r="F580" s="11" t="s">
        <v>357</v>
      </c>
      <c r="G580" s="11" t="s">
        <v>20</v>
      </c>
      <c r="H580" s="9" t="s">
        <v>42</v>
      </c>
      <c r="I580" s="15">
        <v>1</v>
      </c>
      <c r="J580" s="17">
        <f>[1]Detail!M580+[1]Detail!N580</f>
        <v>430846</v>
      </c>
      <c r="K580" s="17">
        <f>J580*[1]Detail!I580</f>
        <v>430846</v>
      </c>
      <c r="L580" s="9"/>
    </row>
    <row r="581" ht="23" spans="1:12">
      <c r="A581" s="8" t="s">
        <v>2266</v>
      </c>
      <c r="B581" s="9" t="s">
        <v>2267</v>
      </c>
      <c r="C581" s="9" t="s">
        <v>2268</v>
      </c>
      <c r="D581" s="9" t="s">
        <v>2269</v>
      </c>
      <c r="E581" s="9" t="s">
        <v>2270</v>
      </c>
      <c r="F581" s="11" t="s">
        <v>19</v>
      </c>
      <c r="G581" s="11" t="s">
        <v>41</v>
      </c>
      <c r="H581" s="9" t="s">
        <v>21</v>
      </c>
      <c r="I581" s="15">
        <v>1</v>
      </c>
      <c r="J581" s="17">
        <f>[1]Detail!M581+[1]Detail!N581</f>
        <v>543478</v>
      </c>
      <c r="K581" s="17">
        <f>J581*[1]Detail!I581</f>
        <v>543478</v>
      </c>
      <c r="L581" s="9"/>
    </row>
    <row r="582" ht="23" spans="1:12">
      <c r="A582" s="8" t="s">
        <v>2271</v>
      </c>
      <c r="B582" s="9" t="s">
        <v>2272</v>
      </c>
      <c r="C582" s="9" t="s">
        <v>2268</v>
      </c>
      <c r="D582" s="9" t="s">
        <v>2273</v>
      </c>
      <c r="E582" s="9" t="s">
        <v>76</v>
      </c>
      <c r="F582" s="11" t="s">
        <v>54</v>
      </c>
      <c r="G582" s="11" t="s">
        <v>41</v>
      </c>
      <c r="H582" s="9" t="s">
        <v>21</v>
      </c>
      <c r="I582" s="15">
        <v>1</v>
      </c>
      <c r="J582" s="17">
        <f>[1]Detail!M582+[1]Detail!N582</f>
        <v>543478</v>
      </c>
      <c r="K582" s="17">
        <f>J582*[1]Detail!I582</f>
        <v>543478</v>
      </c>
      <c r="L582" s="9"/>
    </row>
    <row r="583" ht="23" spans="1:12">
      <c r="A583" s="8" t="s">
        <v>2274</v>
      </c>
      <c r="B583" s="9" t="s">
        <v>2275</v>
      </c>
      <c r="C583" s="9" t="s">
        <v>2276</v>
      </c>
      <c r="D583" s="9" t="s">
        <v>2277</v>
      </c>
      <c r="E583" s="9" t="s">
        <v>34</v>
      </c>
      <c r="F583" s="11" t="s">
        <v>35</v>
      </c>
      <c r="G583" s="11" t="s">
        <v>36</v>
      </c>
      <c r="H583" s="9" t="s">
        <v>42</v>
      </c>
      <c r="I583" s="15">
        <v>1</v>
      </c>
      <c r="J583" s="17">
        <f>[1]Detail!M583+[1]Detail!N583</f>
        <v>243802</v>
      </c>
      <c r="K583" s="17">
        <f>J583*[1]Detail!I583</f>
        <v>243802</v>
      </c>
      <c r="L583" s="9"/>
    </row>
    <row r="584" ht="23" spans="1:12">
      <c r="A584" s="8" t="s">
        <v>2278</v>
      </c>
      <c r="B584" s="9" t="s">
        <v>2279</v>
      </c>
      <c r="C584" s="9" t="s">
        <v>2280</v>
      </c>
      <c r="D584" s="9" t="s">
        <v>2281</v>
      </c>
      <c r="E584" s="9" t="s">
        <v>76</v>
      </c>
      <c r="F584" s="11" t="s">
        <v>54</v>
      </c>
      <c r="G584" s="11" t="s">
        <v>36</v>
      </c>
      <c r="H584" s="9" t="s">
        <v>42</v>
      </c>
      <c r="I584" s="15">
        <v>1</v>
      </c>
      <c r="J584" s="17">
        <f>[1]Detail!M584+[1]Detail!N584</f>
        <v>202670</v>
      </c>
      <c r="K584" s="17">
        <f>J584*[1]Detail!I584</f>
        <v>202670</v>
      </c>
      <c r="L584" s="9"/>
    </row>
    <row r="585" ht="23" spans="1:12">
      <c r="A585" s="8" t="s">
        <v>2282</v>
      </c>
      <c r="B585" s="9" t="s">
        <v>2283</v>
      </c>
      <c r="C585" s="9" t="s">
        <v>2284</v>
      </c>
      <c r="D585" s="9" t="s">
        <v>2285</v>
      </c>
      <c r="E585" s="9" t="s">
        <v>76</v>
      </c>
      <c r="F585" s="11" t="s">
        <v>54</v>
      </c>
      <c r="G585" s="11" t="s">
        <v>36</v>
      </c>
      <c r="H585" s="9" t="s">
        <v>42</v>
      </c>
      <c r="I585" s="15">
        <v>1</v>
      </c>
      <c r="J585" s="17">
        <f>[1]Detail!M585+[1]Detail!N585</f>
        <v>140998</v>
      </c>
      <c r="K585" s="17">
        <f>J585*[1]Detail!I585</f>
        <v>140998</v>
      </c>
      <c r="L585" s="9"/>
    </row>
    <row r="586" ht="23" spans="1:12">
      <c r="A586" s="8" t="s">
        <v>2286</v>
      </c>
      <c r="B586" s="9" t="s">
        <v>2287</v>
      </c>
      <c r="C586" s="9" t="s">
        <v>2288</v>
      </c>
      <c r="D586" s="9" t="s">
        <v>2289</v>
      </c>
      <c r="E586" s="9" t="s">
        <v>76</v>
      </c>
      <c r="F586" s="11" t="s">
        <v>54</v>
      </c>
      <c r="G586" s="11" t="s">
        <v>20</v>
      </c>
      <c r="H586" s="9" t="s">
        <v>42</v>
      </c>
      <c r="I586" s="15">
        <v>1</v>
      </c>
      <c r="J586" s="17">
        <f>[1]Detail!M586+[1]Detail!N586</f>
        <v>161564</v>
      </c>
      <c r="K586" s="17">
        <f>J586*[1]Detail!I586</f>
        <v>161564</v>
      </c>
      <c r="L586" s="9"/>
    </row>
    <row r="587" ht="23" spans="1:12">
      <c r="A587" s="8" t="s">
        <v>2290</v>
      </c>
      <c r="B587" s="9" t="s">
        <v>2291</v>
      </c>
      <c r="C587" s="9" t="s">
        <v>2292</v>
      </c>
      <c r="D587" s="9" t="s">
        <v>2293</v>
      </c>
      <c r="E587" s="9" t="s">
        <v>1361</v>
      </c>
      <c r="F587" s="11" t="s">
        <v>54</v>
      </c>
      <c r="G587" s="11" t="s">
        <v>36</v>
      </c>
      <c r="H587" s="9" t="s">
        <v>42</v>
      </c>
      <c r="I587" s="15">
        <v>1</v>
      </c>
      <c r="J587" s="17">
        <f>[1]Detail!M587+[1]Detail!N587</f>
        <v>123370</v>
      </c>
      <c r="K587" s="17">
        <f>J587*[1]Detail!I587</f>
        <v>123370</v>
      </c>
      <c r="L587" s="9"/>
    </row>
    <row r="588" ht="23" spans="1:12">
      <c r="A588" s="8" t="s">
        <v>2294</v>
      </c>
      <c r="B588" s="9" t="s">
        <v>2295</v>
      </c>
      <c r="C588" s="9" t="s">
        <v>2296</v>
      </c>
      <c r="D588" s="9" t="s">
        <v>2297</v>
      </c>
      <c r="E588" s="9" t="s">
        <v>638</v>
      </c>
      <c r="F588" s="11" t="s">
        <v>19</v>
      </c>
      <c r="G588" s="11" t="s">
        <v>36</v>
      </c>
      <c r="H588" s="9" t="s">
        <v>21</v>
      </c>
      <c r="I588" s="15">
        <v>1</v>
      </c>
      <c r="J588" s="17">
        <f>[1]Detail!M588+[1]Detail!N588</f>
        <v>499408</v>
      </c>
      <c r="K588" s="17">
        <f>J588*[1]Detail!I588</f>
        <v>499408</v>
      </c>
      <c r="L588" s="9"/>
    </row>
    <row r="589" ht="23" spans="1:12">
      <c r="A589" s="8" t="s">
        <v>2298</v>
      </c>
      <c r="B589" s="9" t="s">
        <v>2299</v>
      </c>
      <c r="C589" s="9" t="s">
        <v>2300</v>
      </c>
      <c r="D589" s="9" t="s">
        <v>2301</v>
      </c>
      <c r="E589" s="9" t="s">
        <v>2302</v>
      </c>
      <c r="F589" s="11" t="s">
        <v>54</v>
      </c>
      <c r="G589" s="11" t="s">
        <v>20</v>
      </c>
      <c r="H589" s="9" t="s">
        <v>42</v>
      </c>
      <c r="I589" s="15">
        <v>1</v>
      </c>
      <c r="J589" s="17">
        <f>[1]Detail!M589+[1]Detail!N589</f>
        <v>541034</v>
      </c>
      <c r="K589" s="17">
        <f>J589*[1]Detail!I589</f>
        <v>541034</v>
      </c>
      <c r="L589" s="9"/>
    </row>
    <row r="590" ht="34.5" spans="1:12">
      <c r="A590" s="8" t="s">
        <v>2303</v>
      </c>
      <c r="B590" s="9" t="s">
        <v>2304</v>
      </c>
      <c r="C590" s="9" t="s">
        <v>2305</v>
      </c>
      <c r="D590" s="9" t="s">
        <v>2306</v>
      </c>
      <c r="E590" s="9" t="s">
        <v>76</v>
      </c>
      <c r="F590" s="11" t="s">
        <v>54</v>
      </c>
      <c r="G590" s="11" t="s">
        <v>20</v>
      </c>
      <c r="H590" s="9" t="s">
        <v>42</v>
      </c>
      <c r="I590" s="15">
        <v>1</v>
      </c>
      <c r="J590" s="17">
        <f>[1]Detail!M590+[1]Detail!N590</f>
        <v>146874</v>
      </c>
      <c r="K590" s="17">
        <f>J590*[1]Detail!I590</f>
        <v>146874</v>
      </c>
      <c r="L590" s="9"/>
    </row>
    <row r="591" ht="34.5" spans="1:12">
      <c r="A591" s="8" t="s">
        <v>2307</v>
      </c>
      <c r="B591" s="9" t="s">
        <v>2304</v>
      </c>
      <c r="C591" s="9" t="s">
        <v>2305</v>
      </c>
      <c r="D591" s="9" t="s">
        <v>2306</v>
      </c>
      <c r="E591" s="9" t="s">
        <v>76</v>
      </c>
      <c r="F591" s="11" t="s">
        <v>54</v>
      </c>
      <c r="G591" s="11" t="s">
        <v>20</v>
      </c>
      <c r="H591" s="9" t="s">
        <v>42</v>
      </c>
      <c r="I591" s="15">
        <v>1</v>
      </c>
      <c r="J591" s="17">
        <f>[1]Detail!M591+[1]Detail!N591</f>
        <v>146874</v>
      </c>
      <c r="K591" s="17">
        <f>J591*[1]Detail!I591</f>
        <v>146874</v>
      </c>
      <c r="L591" s="9"/>
    </row>
    <row r="592" ht="34.5" spans="1:12">
      <c r="A592" s="8" t="s">
        <v>2308</v>
      </c>
      <c r="B592" s="9" t="s">
        <v>2309</v>
      </c>
      <c r="C592" s="9" t="s">
        <v>2310</v>
      </c>
      <c r="D592" s="9" t="s">
        <v>2311</v>
      </c>
      <c r="E592" s="9" t="s">
        <v>34</v>
      </c>
      <c r="F592" s="11" t="s">
        <v>35</v>
      </c>
      <c r="G592" s="11" t="s">
        <v>20</v>
      </c>
      <c r="H592" s="9" t="s">
        <v>21</v>
      </c>
      <c r="I592" s="15">
        <v>1</v>
      </c>
      <c r="J592" s="17">
        <f>[1]Detail!M592+[1]Detail!N592</f>
        <v>528788</v>
      </c>
      <c r="K592" s="17">
        <f>J592*[1]Detail!I592</f>
        <v>528788</v>
      </c>
      <c r="L592" s="9"/>
    </row>
    <row r="593" ht="23" spans="1:12">
      <c r="A593" s="8" t="s">
        <v>2312</v>
      </c>
      <c r="B593" s="9" t="s">
        <v>2313</v>
      </c>
      <c r="C593" s="9" t="s">
        <v>2314</v>
      </c>
      <c r="D593" s="9" t="s">
        <v>2315</v>
      </c>
      <c r="E593" s="9" t="s">
        <v>76</v>
      </c>
      <c r="F593" s="11" t="s">
        <v>54</v>
      </c>
      <c r="G593" s="11" t="s">
        <v>20</v>
      </c>
      <c r="H593" s="9" t="s">
        <v>21</v>
      </c>
      <c r="I593" s="15">
        <v>1</v>
      </c>
      <c r="J593" s="17">
        <f>[1]Detail!M593+[1]Detail!N593</f>
        <v>587548</v>
      </c>
      <c r="K593" s="17">
        <f>J593*[1]Detail!I593</f>
        <v>587548</v>
      </c>
      <c r="L593" s="9"/>
    </row>
    <row r="594" ht="34.5" spans="1:12">
      <c r="A594" s="8" t="s">
        <v>2316</v>
      </c>
      <c r="B594" s="9" t="s">
        <v>2317</v>
      </c>
      <c r="C594" s="9" t="s">
        <v>2318</v>
      </c>
      <c r="D594" s="9" t="s">
        <v>2319</v>
      </c>
      <c r="E594" s="9" t="s">
        <v>478</v>
      </c>
      <c r="F594" s="11" t="s">
        <v>19</v>
      </c>
      <c r="G594" s="11" t="s">
        <v>20</v>
      </c>
      <c r="H594" s="9" t="s">
        <v>21</v>
      </c>
      <c r="I594" s="15">
        <v>1</v>
      </c>
      <c r="J594" s="17">
        <f>[1]Detail!M594+[1]Detail!N594</f>
        <v>484692</v>
      </c>
      <c r="K594" s="17">
        <f>J594*[1]Detail!I594</f>
        <v>484692</v>
      </c>
      <c r="L594" s="9"/>
    </row>
    <row r="595" spans="1:12">
      <c r="A595" s="8" t="s">
        <v>2320</v>
      </c>
      <c r="B595" s="9" t="s">
        <v>95</v>
      </c>
      <c r="C595" s="9" t="s">
        <v>96</v>
      </c>
      <c r="D595" s="9" t="s">
        <v>97</v>
      </c>
      <c r="E595" s="9" t="s">
        <v>76</v>
      </c>
      <c r="F595" s="11" t="s">
        <v>54</v>
      </c>
      <c r="G595" s="11" t="s">
        <v>20</v>
      </c>
      <c r="H595" s="9" t="s">
        <v>21</v>
      </c>
      <c r="I595" s="15">
        <v>1</v>
      </c>
      <c r="J595" s="17">
        <f>[1]Detail!M595+[1]Detail!N595</f>
        <v>145158</v>
      </c>
      <c r="K595" s="17">
        <f>J595*[1]Detail!I595</f>
        <v>145158</v>
      </c>
      <c r="L595" s="9"/>
    </row>
    <row r="596" ht="34.5" spans="1:12">
      <c r="A596" s="8" t="s">
        <v>2321</v>
      </c>
      <c r="B596" s="9" t="s">
        <v>2322</v>
      </c>
      <c r="C596" s="9" t="s">
        <v>2323</v>
      </c>
      <c r="D596" s="9" t="s">
        <v>2324</v>
      </c>
      <c r="E596" s="9" t="s">
        <v>611</v>
      </c>
      <c r="F596" s="11" t="s">
        <v>54</v>
      </c>
      <c r="G596" s="11" t="s">
        <v>20</v>
      </c>
      <c r="H596" s="9" t="s">
        <v>21</v>
      </c>
      <c r="I596" s="15">
        <v>1</v>
      </c>
      <c r="J596" s="17">
        <f>[1]Detail!M596+[1]Detail!N596</f>
        <v>262392</v>
      </c>
      <c r="K596" s="17">
        <f>J596*[1]Detail!I596</f>
        <v>262392</v>
      </c>
      <c r="L596" s="9"/>
    </row>
    <row r="597" ht="23" spans="1:12">
      <c r="A597" s="8" t="s">
        <v>2325</v>
      </c>
      <c r="B597" s="9" t="s">
        <v>2326</v>
      </c>
      <c r="C597" s="9" t="s">
        <v>2327</v>
      </c>
      <c r="D597" s="9" t="s">
        <v>2328</v>
      </c>
      <c r="E597" s="9" t="s">
        <v>76</v>
      </c>
      <c r="F597" s="11" t="s">
        <v>54</v>
      </c>
      <c r="G597" s="11" t="s">
        <v>20</v>
      </c>
      <c r="H597" s="9" t="s">
        <v>21</v>
      </c>
      <c r="I597" s="15">
        <v>1</v>
      </c>
      <c r="J597" s="17">
        <f>[1]Detail!M597+[1]Detail!N597</f>
        <v>587548</v>
      </c>
      <c r="K597" s="17">
        <f>J597*[1]Detail!I597</f>
        <v>587548</v>
      </c>
      <c r="L597" s="9"/>
    </row>
    <row r="598" ht="23" spans="1:12">
      <c r="A598" s="8" t="s">
        <v>2329</v>
      </c>
      <c r="B598" s="9" t="s">
        <v>99</v>
      </c>
      <c r="C598" s="9" t="s">
        <v>100</v>
      </c>
      <c r="D598" s="9" t="s">
        <v>101</v>
      </c>
      <c r="E598" s="9" t="s">
        <v>26</v>
      </c>
      <c r="F598" s="11" t="s">
        <v>19</v>
      </c>
      <c r="G598" s="11" t="s">
        <v>20</v>
      </c>
      <c r="H598" s="9" t="s">
        <v>42</v>
      </c>
      <c r="I598" s="15">
        <v>1</v>
      </c>
      <c r="J598" s="17">
        <f>[1]Detail!M598+[1]Detail!N598</f>
        <v>347620</v>
      </c>
      <c r="K598" s="17">
        <f>J598*[1]Detail!I598</f>
        <v>347620</v>
      </c>
      <c r="L598" s="9"/>
    </row>
    <row r="599" ht="23" spans="1:12">
      <c r="A599" s="8" t="s">
        <v>2330</v>
      </c>
      <c r="B599" s="9" t="s">
        <v>2331</v>
      </c>
      <c r="C599" s="9" t="s">
        <v>2332</v>
      </c>
      <c r="D599" s="9" t="s">
        <v>2333</v>
      </c>
      <c r="E599" s="9" t="s">
        <v>267</v>
      </c>
      <c r="F599" s="11" t="s">
        <v>19</v>
      </c>
      <c r="G599" s="11" t="s">
        <v>36</v>
      </c>
      <c r="H599" s="9" t="s">
        <v>21</v>
      </c>
      <c r="I599" s="15">
        <v>1</v>
      </c>
      <c r="J599" s="17">
        <f>[1]Detail!M599+[1]Detail!N599</f>
        <v>425984</v>
      </c>
      <c r="K599" s="17">
        <f>J599*[1]Detail!I599</f>
        <v>425984</v>
      </c>
      <c r="L599" s="9"/>
    </row>
    <row r="600" ht="23" spans="1:12">
      <c r="A600" s="8" t="s">
        <v>2334</v>
      </c>
      <c r="B600" s="9" t="s">
        <v>107</v>
      </c>
      <c r="C600" s="9" t="s">
        <v>108</v>
      </c>
      <c r="D600" s="9" t="s">
        <v>109</v>
      </c>
      <c r="E600" s="9" t="s">
        <v>34</v>
      </c>
      <c r="F600" s="11" t="s">
        <v>35</v>
      </c>
      <c r="G600" s="11" t="s">
        <v>36</v>
      </c>
      <c r="H600" s="9" t="s">
        <v>21</v>
      </c>
      <c r="I600" s="15">
        <v>1</v>
      </c>
      <c r="J600" s="17">
        <f>[1]Detail!M600+[1]Detail!N600</f>
        <v>440674</v>
      </c>
      <c r="K600" s="17">
        <f>J600*[1]Detail!I600</f>
        <v>440674</v>
      </c>
      <c r="L600" s="9"/>
    </row>
    <row r="601" ht="34.5" spans="1:12">
      <c r="A601" s="8" t="s">
        <v>2335</v>
      </c>
      <c r="B601" s="9" t="s">
        <v>2336</v>
      </c>
      <c r="C601" s="9" t="s">
        <v>2337</v>
      </c>
      <c r="D601" s="9" t="s">
        <v>2338</v>
      </c>
      <c r="E601" s="9" t="s">
        <v>34</v>
      </c>
      <c r="F601" s="11" t="s">
        <v>35</v>
      </c>
      <c r="G601" s="11" t="s">
        <v>36</v>
      </c>
      <c r="H601" s="9" t="s">
        <v>42</v>
      </c>
      <c r="I601" s="15">
        <v>1</v>
      </c>
      <c r="J601" s="17">
        <f>[1]Detail!M601+[1]Detail!N601</f>
        <v>243802</v>
      </c>
      <c r="K601" s="17">
        <f>J601*[1]Detail!I601</f>
        <v>243802</v>
      </c>
      <c r="L601" s="9"/>
    </row>
    <row r="602" ht="34.5" spans="1:12">
      <c r="A602" s="8" t="s">
        <v>2339</v>
      </c>
      <c r="B602" s="9" t="s">
        <v>2340</v>
      </c>
      <c r="C602" s="9" t="s">
        <v>2337</v>
      </c>
      <c r="D602" s="9" t="s">
        <v>2341</v>
      </c>
      <c r="E602" s="9" t="s">
        <v>34</v>
      </c>
      <c r="F602" s="11" t="s">
        <v>35</v>
      </c>
      <c r="G602" s="11" t="s">
        <v>36</v>
      </c>
      <c r="H602" s="9" t="s">
        <v>42</v>
      </c>
      <c r="I602" s="15">
        <v>1</v>
      </c>
      <c r="J602" s="17">
        <f>[1]Detail!M602+[1]Detail!N602</f>
        <v>243802</v>
      </c>
      <c r="K602" s="17">
        <f>J602*[1]Detail!I602</f>
        <v>243802</v>
      </c>
      <c r="L602" s="9"/>
    </row>
    <row r="603" ht="34.5" spans="1:12">
      <c r="A603" s="8" t="s">
        <v>2342</v>
      </c>
      <c r="B603" s="9" t="s">
        <v>2343</v>
      </c>
      <c r="C603" s="9" t="s">
        <v>2344</v>
      </c>
      <c r="D603" s="9" t="s">
        <v>2345</v>
      </c>
      <c r="E603" s="9" t="s">
        <v>34</v>
      </c>
      <c r="F603" s="11" t="s">
        <v>35</v>
      </c>
      <c r="G603" s="11" t="s">
        <v>36</v>
      </c>
      <c r="H603" s="9" t="s">
        <v>42</v>
      </c>
      <c r="I603" s="15">
        <v>1</v>
      </c>
      <c r="J603" s="17">
        <f>[1]Detail!M603+[1]Detail!N603</f>
        <v>243802</v>
      </c>
      <c r="K603" s="17">
        <f>J603*[1]Detail!I603</f>
        <v>243802</v>
      </c>
      <c r="L603" s="9"/>
    </row>
    <row r="604" ht="46" spans="1:12">
      <c r="A604" s="8" t="s">
        <v>2346</v>
      </c>
      <c r="B604" s="9" t="s">
        <v>2347</v>
      </c>
      <c r="C604" s="9" t="s">
        <v>2348</v>
      </c>
      <c r="D604" s="9" t="s">
        <v>2349</v>
      </c>
      <c r="E604" s="9" t="s">
        <v>34</v>
      </c>
      <c r="F604" s="11" t="s">
        <v>35</v>
      </c>
      <c r="G604" s="11" t="s">
        <v>36</v>
      </c>
      <c r="H604" s="9" t="s">
        <v>42</v>
      </c>
      <c r="I604" s="15">
        <v>1</v>
      </c>
      <c r="J604" s="17">
        <f>[1]Detail!M604+[1]Detail!N604</f>
        <v>243802</v>
      </c>
      <c r="K604" s="17">
        <f>J604*[1]Detail!I604</f>
        <v>243802</v>
      </c>
      <c r="L604" s="9"/>
    </row>
    <row r="605" ht="46" spans="1:12">
      <c r="A605" s="8" t="s">
        <v>2350</v>
      </c>
      <c r="B605" s="9" t="s">
        <v>2351</v>
      </c>
      <c r="C605" s="9" t="s">
        <v>2352</v>
      </c>
      <c r="D605" s="9" t="s">
        <v>2353</v>
      </c>
      <c r="E605" s="9" t="s">
        <v>34</v>
      </c>
      <c r="F605" s="11" t="s">
        <v>35</v>
      </c>
      <c r="G605" s="11" t="s">
        <v>36</v>
      </c>
      <c r="H605" s="9" t="s">
        <v>42</v>
      </c>
      <c r="I605" s="15">
        <v>1</v>
      </c>
      <c r="J605" s="17">
        <f>[1]Detail!M605+[1]Detail!N605</f>
        <v>243802</v>
      </c>
      <c r="K605" s="17">
        <f>J605*[1]Detail!I605</f>
        <v>243802</v>
      </c>
      <c r="L605" s="9"/>
    </row>
    <row r="606" ht="34.5" spans="1:12">
      <c r="A606" s="8" t="s">
        <v>2354</v>
      </c>
      <c r="B606" s="9" t="s">
        <v>2355</v>
      </c>
      <c r="C606" s="9" t="s">
        <v>2356</v>
      </c>
      <c r="D606" s="9" t="s">
        <v>2357</v>
      </c>
      <c r="E606" s="9" t="s">
        <v>2152</v>
      </c>
      <c r="F606" s="11" t="s">
        <v>19</v>
      </c>
      <c r="G606" s="11" t="s">
        <v>36</v>
      </c>
      <c r="H606" s="9" t="s">
        <v>42</v>
      </c>
      <c r="I606" s="15">
        <v>1</v>
      </c>
      <c r="J606" s="17">
        <f>[1]Detail!M606+[1]Detail!N606</f>
        <v>245024</v>
      </c>
      <c r="K606" s="17">
        <f>J606*[1]Detail!I606</f>
        <v>245024</v>
      </c>
      <c r="L606" s="9"/>
    </row>
    <row r="607" ht="34.5" spans="1:12">
      <c r="A607" s="8" t="s">
        <v>2358</v>
      </c>
      <c r="B607" s="9" t="s">
        <v>2359</v>
      </c>
      <c r="C607" s="9" t="s">
        <v>2360</v>
      </c>
      <c r="D607" s="9" t="s">
        <v>2361</v>
      </c>
      <c r="E607" s="9" t="s">
        <v>76</v>
      </c>
      <c r="F607" s="11" t="s">
        <v>54</v>
      </c>
      <c r="G607" s="11" t="s">
        <v>41</v>
      </c>
      <c r="H607" s="9" t="s">
        <v>21</v>
      </c>
      <c r="I607" s="15">
        <v>1</v>
      </c>
      <c r="J607" s="17">
        <f>[1]Detail!M607+[1]Detail!N607</f>
        <v>528788</v>
      </c>
      <c r="K607" s="17">
        <f>J607*[1]Detail!I607</f>
        <v>528788</v>
      </c>
      <c r="L607" s="9"/>
    </row>
    <row r="608" ht="34.5" spans="1:12">
      <c r="A608" s="8" t="s">
        <v>2362</v>
      </c>
      <c r="B608" s="9" t="s">
        <v>2363</v>
      </c>
      <c r="C608" s="9" t="s">
        <v>2364</v>
      </c>
      <c r="D608" s="9" t="s">
        <v>2365</v>
      </c>
      <c r="E608" s="9" t="s">
        <v>2186</v>
      </c>
      <c r="F608" s="11" t="s">
        <v>19</v>
      </c>
      <c r="G608" s="11" t="s">
        <v>36</v>
      </c>
      <c r="H608" s="9" t="s">
        <v>42</v>
      </c>
      <c r="I608" s="15">
        <v>1</v>
      </c>
      <c r="J608" s="17">
        <f>[1]Detail!M608+[1]Detail!N608</f>
        <v>660998</v>
      </c>
      <c r="K608" s="17">
        <f>J608*[1]Detail!I608</f>
        <v>660998</v>
      </c>
      <c r="L608" s="9"/>
    </row>
    <row r="609" ht="23" spans="1:12">
      <c r="A609" s="8" t="s">
        <v>2366</v>
      </c>
      <c r="B609" s="9" t="s">
        <v>2367</v>
      </c>
      <c r="C609" s="9" t="s">
        <v>2368</v>
      </c>
      <c r="D609" s="9" t="s">
        <v>2369</v>
      </c>
      <c r="E609" s="9" t="s">
        <v>76</v>
      </c>
      <c r="F609" s="11" t="s">
        <v>54</v>
      </c>
      <c r="G609" s="11" t="s">
        <v>41</v>
      </c>
      <c r="H609" s="9" t="s">
        <v>21</v>
      </c>
      <c r="I609" s="15">
        <v>1</v>
      </c>
      <c r="J609" s="17">
        <f>[1]Detail!M609+[1]Detail!N609</f>
        <v>514098</v>
      </c>
      <c r="K609" s="17">
        <f>J609*[1]Detail!I609</f>
        <v>514098</v>
      </c>
      <c r="L609" s="9"/>
    </row>
    <row r="610" spans="1:12">
      <c r="A610" s="8" t="s">
        <v>2370</v>
      </c>
      <c r="B610" s="9" t="s">
        <v>2371</v>
      </c>
      <c r="C610" s="9" t="s">
        <v>2372</v>
      </c>
      <c r="D610" s="9" t="s">
        <v>2373</v>
      </c>
      <c r="E610" s="9" t="s">
        <v>76</v>
      </c>
      <c r="F610" s="11" t="s">
        <v>54</v>
      </c>
      <c r="G610" s="11" t="s">
        <v>20</v>
      </c>
      <c r="H610" s="9" t="s">
        <v>42</v>
      </c>
      <c r="I610" s="15">
        <v>1</v>
      </c>
      <c r="J610" s="17">
        <f>[1]Detail!M610+[1]Detail!N610</f>
        <v>99866</v>
      </c>
      <c r="K610" s="17">
        <f>J610*[1]Detail!I610</f>
        <v>99866</v>
      </c>
      <c r="L610" s="9"/>
    </row>
    <row r="611" ht="23" spans="1:12">
      <c r="A611" s="8" t="s">
        <v>2374</v>
      </c>
      <c r="B611" s="9" t="s">
        <v>2375</v>
      </c>
      <c r="C611" s="9" t="s">
        <v>2376</v>
      </c>
      <c r="D611" s="9" t="s">
        <v>2377</v>
      </c>
      <c r="E611" s="9" t="s">
        <v>26</v>
      </c>
      <c r="F611" s="11" t="s">
        <v>19</v>
      </c>
      <c r="G611" s="11" t="s">
        <v>36</v>
      </c>
      <c r="H611" s="9" t="s">
        <v>42</v>
      </c>
      <c r="I611" s="15">
        <v>1</v>
      </c>
      <c r="J611" s="17">
        <f>[1]Detail!M611+[1]Detail!N611</f>
        <v>281528</v>
      </c>
      <c r="K611" s="17">
        <f>J611*[1]Detail!I611</f>
        <v>281528</v>
      </c>
      <c r="L611" s="9"/>
    </row>
    <row r="612" ht="34.5" spans="1:12">
      <c r="A612" s="8" t="s">
        <v>2378</v>
      </c>
      <c r="B612" s="9" t="s">
        <v>2379</v>
      </c>
      <c r="C612" s="9" t="s">
        <v>2380</v>
      </c>
      <c r="D612" s="9" t="s">
        <v>2381</v>
      </c>
      <c r="E612" s="9" t="s">
        <v>179</v>
      </c>
      <c r="F612" s="11" t="s">
        <v>162</v>
      </c>
      <c r="G612" s="11" t="s">
        <v>20</v>
      </c>
      <c r="H612" s="9" t="s">
        <v>42</v>
      </c>
      <c r="I612" s="15">
        <v>1</v>
      </c>
      <c r="J612" s="17">
        <f>[1]Detail!M612+[1]Detail!N612</f>
        <v>148096</v>
      </c>
      <c r="K612" s="17">
        <f>J612*[1]Detail!I612</f>
        <v>148096</v>
      </c>
      <c r="L612" s="9"/>
    </row>
    <row r="613" ht="34.5" spans="1:12">
      <c r="A613" s="8" t="s">
        <v>2382</v>
      </c>
      <c r="B613" s="9" t="s">
        <v>2383</v>
      </c>
      <c r="C613" s="9" t="s">
        <v>2384</v>
      </c>
      <c r="D613" s="9" t="s">
        <v>2385</v>
      </c>
      <c r="E613" s="9" t="s">
        <v>26</v>
      </c>
      <c r="F613" s="11" t="s">
        <v>19</v>
      </c>
      <c r="G613" s="11" t="s">
        <v>36</v>
      </c>
      <c r="H613" s="9" t="s">
        <v>42</v>
      </c>
      <c r="I613" s="15">
        <v>1</v>
      </c>
      <c r="J613" s="17">
        <f>[1]Detail!M613+[1]Detail!N613</f>
        <v>247260</v>
      </c>
      <c r="K613" s="17">
        <f>J613*[1]Detail!I613</f>
        <v>247260</v>
      </c>
      <c r="L613" s="9"/>
    </row>
    <row r="614" ht="23" spans="1:12">
      <c r="A614" s="8" t="s">
        <v>2386</v>
      </c>
      <c r="B614" s="9" t="s">
        <v>2387</v>
      </c>
      <c r="C614" s="9" t="s">
        <v>2388</v>
      </c>
      <c r="D614" s="9" t="s">
        <v>2389</v>
      </c>
      <c r="E614" s="9" t="s">
        <v>267</v>
      </c>
      <c r="F614" s="11" t="s">
        <v>19</v>
      </c>
      <c r="G614" s="11" t="s">
        <v>20</v>
      </c>
      <c r="H614" s="9" t="s">
        <v>42</v>
      </c>
      <c r="I614" s="15">
        <v>1</v>
      </c>
      <c r="J614" s="17">
        <f>[1]Detail!M614+[1]Detail!N614</f>
        <v>334906</v>
      </c>
      <c r="K614" s="17">
        <f>J614*[1]Detail!I614</f>
        <v>334906</v>
      </c>
      <c r="L614" s="9"/>
    </row>
    <row r="615" ht="46" spans="1:12">
      <c r="A615" s="8" t="s">
        <v>2390</v>
      </c>
      <c r="B615" s="9" t="s">
        <v>2391</v>
      </c>
      <c r="C615" s="9" t="s">
        <v>2392</v>
      </c>
      <c r="D615" s="9" t="s">
        <v>2393</v>
      </c>
      <c r="E615" s="9" t="s">
        <v>1315</v>
      </c>
      <c r="F615" s="11" t="s">
        <v>19</v>
      </c>
      <c r="G615" s="11" t="s">
        <v>36</v>
      </c>
      <c r="H615" s="9" t="s">
        <v>42</v>
      </c>
      <c r="I615" s="15">
        <v>1</v>
      </c>
      <c r="J615" s="17">
        <f>[1]Detail!M615+[1]Detail!N615</f>
        <v>486928</v>
      </c>
      <c r="K615" s="17">
        <f>J615*[1]Detail!I615</f>
        <v>486928</v>
      </c>
      <c r="L615" s="9"/>
    </row>
    <row r="616" spans="1:12">
      <c r="A616" s="8" t="s">
        <v>2394</v>
      </c>
      <c r="B616" s="9" t="s">
        <v>2395</v>
      </c>
      <c r="C616" s="9" t="s">
        <v>711</v>
      </c>
      <c r="D616" s="9" t="s">
        <v>2396</v>
      </c>
      <c r="E616" s="9" t="s">
        <v>76</v>
      </c>
      <c r="F616" s="11" t="s">
        <v>54</v>
      </c>
      <c r="G616" s="11" t="s">
        <v>36</v>
      </c>
      <c r="H616" s="9" t="s">
        <v>42</v>
      </c>
      <c r="I616" s="15">
        <v>1</v>
      </c>
      <c r="J616" s="17">
        <f>[1]Detail!M616+[1]Detail!N616</f>
        <v>214422</v>
      </c>
      <c r="K616" s="17">
        <f>J616*[1]Detail!I616</f>
        <v>214422</v>
      </c>
      <c r="L616" s="9"/>
    </row>
    <row r="617" ht="23" spans="1:12">
      <c r="A617" s="8" t="s">
        <v>2397</v>
      </c>
      <c r="B617" s="9" t="s">
        <v>2398</v>
      </c>
      <c r="C617" s="9" t="s">
        <v>2399</v>
      </c>
      <c r="D617" s="9" t="s">
        <v>2400</v>
      </c>
      <c r="E617" s="9" t="s">
        <v>76</v>
      </c>
      <c r="F617" s="11" t="s">
        <v>54</v>
      </c>
      <c r="G617" s="11" t="s">
        <v>36</v>
      </c>
      <c r="H617" s="9" t="s">
        <v>42</v>
      </c>
      <c r="I617" s="15">
        <v>1</v>
      </c>
      <c r="J617" s="17">
        <f>[1]Detail!M617+[1]Detail!N617</f>
        <v>205608</v>
      </c>
      <c r="K617" s="17">
        <f>J617*[1]Detail!I617</f>
        <v>205608</v>
      </c>
      <c r="L617" s="9"/>
    </row>
    <row r="618" ht="23" spans="1:12">
      <c r="A618" s="8" t="s">
        <v>2401</v>
      </c>
      <c r="B618" s="9" t="s">
        <v>2402</v>
      </c>
      <c r="C618" s="9" t="s">
        <v>2403</v>
      </c>
      <c r="D618" s="9" t="s">
        <v>2404</v>
      </c>
      <c r="E618" s="9" t="s">
        <v>638</v>
      </c>
      <c r="F618" s="11" t="s">
        <v>19</v>
      </c>
      <c r="G618" s="11" t="s">
        <v>36</v>
      </c>
      <c r="H618" s="9" t="s">
        <v>21</v>
      </c>
      <c r="I618" s="15">
        <v>1</v>
      </c>
      <c r="J618" s="17">
        <f>[1]Detail!M618+[1]Detail!N618</f>
        <v>555230</v>
      </c>
      <c r="K618" s="17">
        <f>J618*[1]Detail!I618</f>
        <v>555230</v>
      </c>
      <c r="L618" s="9"/>
    </row>
    <row r="619" ht="46" spans="1:12">
      <c r="A619" s="8" t="s">
        <v>2405</v>
      </c>
      <c r="B619" s="9" t="s">
        <v>2406</v>
      </c>
      <c r="C619" s="9" t="s">
        <v>2407</v>
      </c>
      <c r="D619" s="9" t="s">
        <v>2408</v>
      </c>
      <c r="E619" s="9" t="s">
        <v>258</v>
      </c>
      <c r="F619" s="11" t="s">
        <v>19</v>
      </c>
      <c r="G619" s="11" t="s">
        <v>41</v>
      </c>
      <c r="H619" s="9" t="s">
        <v>42</v>
      </c>
      <c r="I619" s="15">
        <v>1</v>
      </c>
      <c r="J619" s="17">
        <f>[1]Detail!M619+[1]Detail!N619</f>
        <v>554502</v>
      </c>
      <c r="K619" s="17">
        <f>J619*[1]Detail!I619</f>
        <v>554502</v>
      </c>
      <c r="L619" s="9"/>
    </row>
    <row r="620" ht="46" spans="1:12">
      <c r="A620" s="8" t="s">
        <v>2409</v>
      </c>
      <c r="B620" s="9" t="s">
        <v>2410</v>
      </c>
      <c r="C620" s="9" t="s">
        <v>2411</v>
      </c>
      <c r="D620" s="9" t="s">
        <v>2412</v>
      </c>
      <c r="E620" s="9" t="s">
        <v>76</v>
      </c>
      <c r="F620" s="11" t="s">
        <v>54</v>
      </c>
      <c r="G620" s="11" t="s">
        <v>20</v>
      </c>
      <c r="H620" s="9" t="s">
        <v>42</v>
      </c>
      <c r="I620" s="15">
        <v>1</v>
      </c>
      <c r="J620" s="17">
        <f>[1]Detail!M620+[1]Detail!N620</f>
        <v>146874</v>
      </c>
      <c r="K620" s="17">
        <f>J620*[1]Detail!I620</f>
        <v>146874</v>
      </c>
      <c r="L620" s="9"/>
    </row>
    <row r="621" ht="46" spans="1:12">
      <c r="A621" s="8" t="s">
        <v>2413</v>
      </c>
      <c r="B621" s="9" t="s">
        <v>2410</v>
      </c>
      <c r="C621" s="9" t="s">
        <v>2411</v>
      </c>
      <c r="D621" s="9" t="s">
        <v>2412</v>
      </c>
      <c r="E621" s="9" t="s">
        <v>76</v>
      </c>
      <c r="F621" s="11" t="s">
        <v>54</v>
      </c>
      <c r="G621" s="11" t="s">
        <v>20</v>
      </c>
      <c r="H621" s="9" t="s">
        <v>42</v>
      </c>
      <c r="I621" s="15">
        <v>1</v>
      </c>
      <c r="J621" s="17">
        <f>[1]Detail!M621+[1]Detail!N621</f>
        <v>146874</v>
      </c>
      <c r="K621" s="17">
        <f>J621*[1]Detail!I621</f>
        <v>146874</v>
      </c>
      <c r="L621" s="9"/>
    </row>
    <row r="622" spans="1:12">
      <c r="A622" s="8" t="s">
        <v>2414</v>
      </c>
      <c r="B622" s="9" t="s">
        <v>2415</v>
      </c>
      <c r="C622" s="9" t="s">
        <v>2416</v>
      </c>
      <c r="D622" s="9" t="s">
        <v>2417</v>
      </c>
      <c r="E622" s="9" t="s">
        <v>1361</v>
      </c>
      <c r="F622" s="11" t="s">
        <v>54</v>
      </c>
      <c r="G622" s="11" t="s">
        <v>36</v>
      </c>
      <c r="H622" s="9" t="s">
        <v>42</v>
      </c>
      <c r="I622" s="15">
        <v>1</v>
      </c>
      <c r="J622" s="17">
        <f>[1]Detail!M622+[1]Detail!N622</f>
        <v>93990</v>
      </c>
      <c r="K622" s="17">
        <f>J622*[1]Detail!I622</f>
        <v>93990</v>
      </c>
      <c r="L622" s="9"/>
    </row>
    <row r="623" ht="46" spans="1:12">
      <c r="A623" s="8" t="s">
        <v>2418</v>
      </c>
      <c r="B623" s="9" t="s">
        <v>2419</v>
      </c>
      <c r="C623" s="9" t="s">
        <v>2420</v>
      </c>
      <c r="D623" s="9" t="s">
        <v>2421</v>
      </c>
      <c r="E623" s="9" t="s">
        <v>2422</v>
      </c>
      <c r="F623" s="11" t="s">
        <v>54</v>
      </c>
      <c r="G623" s="11" t="s">
        <v>36</v>
      </c>
      <c r="H623" s="9" t="s">
        <v>42</v>
      </c>
      <c r="I623" s="15">
        <v>1</v>
      </c>
      <c r="J623" s="17">
        <f>[1]Detail!M623+[1]Detail!N623</f>
        <v>149682</v>
      </c>
      <c r="K623" s="17">
        <f>J623*[1]Detail!I623</f>
        <v>149682</v>
      </c>
      <c r="L623" s="9"/>
    </row>
    <row r="624" ht="23" spans="1:12">
      <c r="A624" s="8" t="s">
        <v>2423</v>
      </c>
      <c r="B624" s="9" t="s">
        <v>2424</v>
      </c>
      <c r="C624" s="9" t="s">
        <v>2425</v>
      </c>
      <c r="D624" s="9" t="s">
        <v>2426</v>
      </c>
      <c r="E624" s="9" t="s">
        <v>356</v>
      </c>
      <c r="F624" s="11" t="s">
        <v>357</v>
      </c>
      <c r="G624" s="11" t="s">
        <v>20</v>
      </c>
      <c r="H624" s="9" t="s">
        <v>42</v>
      </c>
      <c r="I624" s="15">
        <v>1</v>
      </c>
      <c r="J624" s="17">
        <f>[1]Detail!M624+[1]Detail!N624</f>
        <v>484692</v>
      </c>
      <c r="K624" s="17">
        <f>J624*[1]Detail!I624</f>
        <v>484692</v>
      </c>
      <c r="L624" s="9"/>
    </row>
    <row r="625" ht="23" spans="1:12">
      <c r="A625" s="8" t="s">
        <v>2427</v>
      </c>
      <c r="B625" s="9" t="s">
        <v>2428</v>
      </c>
      <c r="C625" s="9" t="s">
        <v>2429</v>
      </c>
      <c r="D625" s="9" t="s">
        <v>2430</v>
      </c>
      <c r="E625" s="9" t="s">
        <v>258</v>
      </c>
      <c r="F625" s="11" t="s">
        <v>19</v>
      </c>
      <c r="G625" s="11" t="s">
        <v>20</v>
      </c>
      <c r="H625" s="9" t="s">
        <v>42</v>
      </c>
      <c r="I625" s="15">
        <v>1</v>
      </c>
      <c r="J625" s="17">
        <f>[1]Detail!M625+[1]Detail!N625</f>
        <v>251394</v>
      </c>
      <c r="K625" s="17">
        <f>J625*[1]Detail!I625</f>
        <v>251394</v>
      </c>
      <c r="L625" s="9"/>
    </row>
    <row r="626" ht="34.5" spans="1:12">
      <c r="A626" s="8" t="s">
        <v>2431</v>
      </c>
      <c r="B626" s="9" t="s">
        <v>2432</v>
      </c>
      <c r="C626" s="9" t="s">
        <v>2433</v>
      </c>
      <c r="D626" s="9" t="s">
        <v>2434</v>
      </c>
      <c r="E626" s="9" t="s">
        <v>1315</v>
      </c>
      <c r="F626" s="11" t="s">
        <v>19</v>
      </c>
      <c r="G626" s="11" t="s">
        <v>20</v>
      </c>
      <c r="H626" s="9" t="s">
        <v>42</v>
      </c>
      <c r="I626" s="15">
        <v>1</v>
      </c>
      <c r="J626" s="17">
        <f>[1]Detail!M626+[1]Detail!N626</f>
        <v>413738</v>
      </c>
      <c r="K626" s="17">
        <f>J626*[1]Detail!I626</f>
        <v>413738</v>
      </c>
      <c r="L626" s="9"/>
    </row>
    <row r="627" ht="34.5" spans="1:12">
      <c r="A627" s="8" t="s">
        <v>2435</v>
      </c>
      <c r="B627" s="9" t="s">
        <v>2436</v>
      </c>
      <c r="C627" s="9" t="s">
        <v>2437</v>
      </c>
      <c r="D627" s="9" t="s">
        <v>2438</v>
      </c>
      <c r="E627" s="9" t="s">
        <v>1361</v>
      </c>
      <c r="F627" s="11" t="s">
        <v>54</v>
      </c>
      <c r="G627" s="11" t="s">
        <v>36</v>
      </c>
      <c r="H627" s="9" t="s">
        <v>42</v>
      </c>
      <c r="I627" s="15">
        <v>1</v>
      </c>
      <c r="J627" s="17">
        <f>[1]Detail!M627+[1]Detail!N627</f>
        <v>138060</v>
      </c>
      <c r="K627" s="17">
        <f>J627*[1]Detail!I627</f>
        <v>138060</v>
      </c>
      <c r="L627" s="9"/>
    </row>
    <row r="628" ht="23" spans="1:12">
      <c r="A628" s="8" t="s">
        <v>2439</v>
      </c>
      <c r="B628" s="9" t="s">
        <v>2440</v>
      </c>
      <c r="C628" s="9" t="s">
        <v>2441</v>
      </c>
      <c r="D628" s="9" t="s">
        <v>2442</v>
      </c>
      <c r="E628" s="9" t="s">
        <v>258</v>
      </c>
      <c r="F628" s="11" t="s">
        <v>19</v>
      </c>
      <c r="G628" s="11" t="s">
        <v>20</v>
      </c>
      <c r="H628" s="9" t="s">
        <v>21</v>
      </c>
      <c r="I628" s="15">
        <v>1</v>
      </c>
      <c r="J628" s="17">
        <f>[1]Detail!M628+[1]Detail!N628</f>
        <v>270478</v>
      </c>
      <c r="K628" s="17">
        <f>J628*[1]Detail!I628</f>
        <v>270478</v>
      </c>
      <c r="L628" s="9"/>
    </row>
    <row r="629" ht="23" spans="1:12">
      <c r="A629" s="8" t="s">
        <v>2443</v>
      </c>
      <c r="B629" s="9" t="s">
        <v>2444</v>
      </c>
      <c r="C629" s="9" t="s">
        <v>2445</v>
      </c>
      <c r="D629" s="9" t="s">
        <v>2446</v>
      </c>
      <c r="E629" s="9" t="s">
        <v>267</v>
      </c>
      <c r="F629" s="11" t="s">
        <v>19</v>
      </c>
      <c r="G629" s="11" t="s">
        <v>36</v>
      </c>
      <c r="H629" s="9" t="s">
        <v>42</v>
      </c>
      <c r="I629" s="15">
        <v>1</v>
      </c>
      <c r="J629" s="17">
        <f>[1]Detail!M629+[1]Detail!N629</f>
        <v>164502</v>
      </c>
      <c r="K629" s="17">
        <f>J629*[1]Detail!I629</f>
        <v>164502</v>
      </c>
      <c r="L629" s="9"/>
    </row>
    <row r="630" ht="23" spans="1:12">
      <c r="A630" s="8" t="s">
        <v>2447</v>
      </c>
      <c r="B630" s="9" t="s">
        <v>2448</v>
      </c>
      <c r="C630" s="9" t="s">
        <v>2449</v>
      </c>
      <c r="D630" s="9" t="s">
        <v>2450</v>
      </c>
      <c r="E630" s="9" t="s">
        <v>2186</v>
      </c>
      <c r="F630" s="11" t="s">
        <v>19</v>
      </c>
      <c r="G630" s="11" t="s">
        <v>41</v>
      </c>
      <c r="H630" s="9" t="s">
        <v>42</v>
      </c>
      <c r="I630" s="15">
        <v>1</v>
      </c>
      <c r="J630" s="17">
        <f>[1]Detail!M630+[1]Detail!N630</f>
        <v>379470</v>
      </c>
      <c r="K630" s="17">
        <f>J630*[1]Detail!I630</f>
        <v>379470</v>
      </c>
      <c r="L630" s="9"/>
    </row>
    <row r="631" ht="23" spans="1:12">
      <c r="A631" s="8" t="s">
        <v>2451</v>
      </c>
      <c r="B631" s="9" t="s">
        <v>2448</v>
      </c>
      <c r="C631" s="9" t="s">
        <v>2449</v>
      </c>
      <c r="D631" s="9" t="s">
        <v>2450</v>
      </c>
      <c r="E631" s="9" t="s">
        <v>2186</v>
      </c>
      <c r="F631" s="11" t="s">
        <v>19</v>
      </c>
      <c r="G631" s="11" t="s">
        <v>41</v>
      </c>
      <c r="H631" s="9" t="s">
        <v>42</v>
      </c>
      <c r="I631" s="15">
        <v>1</v>
      </c>
      <c r="J631" s="17">
        <f>[1]Detail!M631+[1]Detail!N631</f>
        <v>379470</v>
      </c>
      <c r="K631" s="17">
        <f>J631*[1]Detail!I631</f>
        <v>379470</v>
      </c>
      <c r="L631" s="9"/>
    </row>
    <row r="632" ht="23" spans="1:12">
      <c r="A632" s="8" t="s">
        <v>2452</v>
      </c>
      <c r="B632" s="9" t="s">
        <v>2453</v>
      </c>
      <c r="C632" s="9" t="s">
        <v>2454</v>
      </c>
      <c r="D632" s="9" t="s">
        <v>2455</v>
      </c>
      <c r="E632" s="9" t="s">
        <v>2456</v>
      </c>
      <c r="F632" s="11" t="s">
        <v>54</v>
      </c>
      <c r="G632" s="11" t="s">
        <v>36</v>
      </c>
      <c r="H632" s="9" t="s">
        <v>21</v>
      </c>
      <c r="I632" s="15">
        <v>1</v>
      </c>
      <c r="J632" s="17">
        <f>[1]Detail!M632+[1]Detail!N632</f>
        <v>367224</v>
      </c>
      <c r="K632" s="17">
        <f>J632*[1]Detail!I632</f>
        <v>367224</v>
      </c>
      <c r="L632" s="9"/>
    </row>
    <row r="633" ht="46" spans="1:12">
      <c r="A633" s="8" t="s">
        <v>2457</v>
      </c>
      <c r="B633" s="9" t="s">
        <v>2458</v>
      </c>
      <c r="C633" s="9" t="s">
        <v>2459</v>
      </c>
      <c r="D633" s="9" t="s">
        <v>2460</v>
      </c>
      <c r="E633" s="9" t="s">
        <v>34</v>
      </c>
      <c r="F633" s="11" t="s">
        <v>35</v>
      </c>
      <c r="G633" s="11" t="s">
        <v>36</v>
      </c>
      <c r="H633" s="9" t="s">
        <v>42</v>
      </c>
      <c r="I633" s="15">
        <v>1</v>
      </c>
      <c r="J633" s="17">
        <f>[1]Detail!M633+[1]Detail!N633</f>
        <v>243802</v>
      </c>
      <c r="K633" s="17">
        <f>J633*[1]Detail!I633</f>
        <v>243802</v>
      </c>
      <c r="L633" s="9"/>
    </row>
    <row r="634" ht="23" spans="1:12">
      <c r="A634" s="8" t="s">
        <v>2461</v>
      </c>
      <c r="B634" s="9" t="s">
        <v>2462</v>
      </c>
      <c r="C634" s="9" t="s">
        <v>2463</v>
      </c>
      <c r="D634" s="9" t="s">
        <v>2464</v>
      </c>
      <c r="E634" s="9" t="s">
        <v>26</v>
      </c>
      <c r="F634" s="11" t="s">
        <v>19</v>
      </c>
      <c r="G634" s="11" t="s">
        <v>20</v>
      </c>
      <c r="H634" s="9" t="s">
        <v>42</v>
      </c>
      <c r="I634" s="15">
        <v>1</v>
      </c>
      <c r="J634" s="17">
        <f>[1]Detail!M634+[1]Detail!N634</f>
        <v>337818</v>
      </c>
      <c r="K634" s="17">
        <f>J634*[1]Detail!I634</f>
        <v>337818</v>
      </c>
      <c r="L634" s="9"/>
    </row>
    <row r="635" ht="34.5" spans="1:12">
      <c r="A635" s="8" t="s">
        <v>2465</v>
      </c>
      <c r="B635" s="9" t="s">
        <v>2466</v>
      </c>
      <c r="C635" s="9" t="s">
        <v>2467</v>
      </c>
      <c r="D635" s="9" t="s">
        <v>2468</v>
      </c>
      <c r="E635" s="9" t="s">
        <v>76</v>
      </c>
      <c r="F635" s="11" t="s">
        <v>54</v>
      </c>
      <c r="G635" s="11" t="s">
        <v>36</v>
      </c>
      <c r="H635" s="9" t="s">
        <v>42</v>
      </c>
      <c r="I635" s="15">
        <v>1</v>
      </c>
      <c r="J635" s="17">
        <f>[1]Detail!M635+[1]Detail!N635</f>
        <v>229112</v>
      </c>
      <c r="K635" s="17">
        <f>J635*[1]Detail!I635</f>
        <v>229112</v>
      </c>
      <c r="L635" s="9"/>
    </row>
    <row r="636" ht="34.5" spans="1:12">
      <c r="A636" s="8" t="s">
        <v>2469</v>
      </c>
      <c r="B636" s="9" t="s">
        <v>2470</v>
      </c>
      <c r="C636" s="9" t="s">
        <v>2471</v>
      </c>
      <c r="D636" s="9" t="s">
        <v>2472</v>
      </c>
      <c r="E636" s="9" t="s">
        <v>76</v>
      </c>
      <c r="F636" s="11" t="s">
        <v>54</v>
      </c>
      <c r="G636" s="11" t="s">
        <v>20</v>
      </c>
      <c r="H636" s="9" t="s">
        <v>42</v>
      </c>
      <c r="I636" s="15">
        <v>1</v>
      </c>
      <c r="J636" s="17">
        <f>[1]Detail!M636+[1]Detail!N636</f>
        <v>193882</v>
      </c>
      <c r="K636" s="17">
        <f>J636*[1]Detail!I636</f>
        <v>193882</v>
      </c>
      <c r="L636" s="9"/>
    </row>
    <row r="637" ht="34.5" spans="1:12">
      <c r="A637" s="8" t="s">
        <v>2473</v>
      </c>
      <c r="B637" s="9" t="s">
        <v>2474</v>
      </c>
      <c r="C637" s="9" t="s">
        <v>2471</v>
      </c>
      <c r="D637" s="9" t="s">
        <v>2475</v>
      </c>
      <c r="E637" s="9" t="s">
        <v>76</v>
      </c>
      <c r="F637" s="11" t="s">
        <v>54</v>
      </c>
      <c r="G637" s="11" t="s">
        <v>20</v>
      </c>
      <c r="H637" s="9" t="s">
        <v>42</v>
      </c>
      <c r="I637" s="15">
        <v>1</v>
      </c>
      <c r="J637" s="17">
        <f>[1]Detail!M637+[1]Detail!N637</f>
        <v>182130</v>
      </c>
      <c r="K637" s="17">
        <f>J637*[1]Detail!I637</f>
        <v>182130</v>
      </c>
      <c r="L637" s="9"/>
    </row>
    <row r="638" ht="23" spans="1:12">
      <c r="A638" s="8" t="s">
        <v>2476</v>
      </c>
      <c r="B638" s="9" t="s">
        <v>2477</v>
      </c>
      <c r="C638" s="9" t="s">
        <v>2478</v>
      </c>
      <c r="D638" s="9" t="s">
        <v>2479</v>
      </c>
      <c r="E638" s="9" t="s">
        <v>26</v>
      </c>
      <c r="F638" s="11" t="s">
        <v>19</v>
      </c>
      <c r="G638" s="11" t="s">
        <v>36</v>
      </c>
      <c r="H638" s="9" t="s">
        <v>21</v>
      </c>
      <c r="I638" s="15">
        <v>1</v>
      </c>
      <c r="J638" s="17">
        <f>[1]Detail!M638+[1]Detail!N638</f>
        <v>308464</v>
      </c>
      <c r="K638" s="17">
        <f>J638*[1]Detail!I638</f>
        <v>308464</v>
      </c>
      <c r="L638" s="9"/>
    </row>
    <row r="639" ht="69" spans="1:12">
      <c r="A639" s="8" t="s">
        <v>2480</v>
      </c>
      <c r="B639" s="9" t="s">
        <v>2481</v>
      </c>
      <c r="C639" s="9" t="s">
        <v>2482</v>
      </c>
      <c r="D639" s="9" t="s">
        <v>2483</v>
      </c>
      <c r="E639" s="9" t="s">
        <v>34</v>
      </c>
      <c r="F639" s="11" t="s">
        <v>35</v>
      </c>
      <c r="G639" s="11" t="s">
        <v>36</v>
      </c>
      <c r="H639" s="9" t="s">
        <v>21</v>
      </c>
      <c r="I639" s="15">
        <v>1</v>
      </c>
      <c r="J639" s="17">
        <f>[1]Detail!M639+[1]Detail!N639</f>
        <v>528788</v>
      </c>
      <c r="K639" s="17">
        <f>J639*[1]Detail!I639</f>
        <v>528788</v>
      </c>
      <c r="L639" s="9"/>
    </row>
    <row r="640" ht="34.5" spans="1:12">
      <c r="A640" s="8" t="s">
        <v>2484</v>
      </c>
      <c r="B640" s="9" t="s">
        <v>2485</v>
      </c>
      <c r="C640" s="9" t="s">
        <v>2486</v>
      </c>
      <c r="D640" s="9" t="s">
        <v>2487</v>
      </c>
      <c r="E640" s="9" t="s">
        <v>76</v>
      </c>
      <c r="F640" s="11" t="s">
        <v>54</v>
      </c>
      <c r="G640" s="11" t="s">
        <v>41</v>
      </c>
      <c r="H640" s="9" t="s">
        <v>21</v>
      </c>
      <c r="I640" s="15">
        <v>1</v>
      </c>
      <c r="J640" s="17">
        <f>[1]Detail!M640+[1]Detail!N640</f>
        <v>587548</v>
      </c>
      <c r="K640" s="17">
        <f>J640*[1]Detail!I640</f>
        <v>587548</v>
      </c>
      <c r="L640" s="9"/>
    </row>
    <row r="641" ht="34.5" spans="1:12">
      <c r="A641" s="8" t="s">
        <v>2488</v>
      </c>
      <c r="B641" s="9" t="s">
        <v>2489</v>
      </c>
      <c r="C641" s="9" t="s">
        <v>2490</v>
      </c>
      <c r="D641" s="9" t="s">
        <v>2491</v>
      </c>
      <c r="E641" s="9" t="s">
        <v>258</v>
      </c>
      <c r="F641" s="11" t="s">
        <v>19</v>
      </c>
      <c r="G641" s="11" t="s">
        <v>41</v>
      </c>
      <c r="H641" s="9" t="s">
        <v>21</v>
      </c>
      <c r="I641" s="15">
        <v>1</v>
      </c>
      <c r="J641" s="17">
        <f>[1]Detail!M641+[1]Detail!N641</f>
        <v>289588</v>
      </c>
      <c r="K641" s="17">
        <f>J641*[1]Detail!I641</f>
        <v>289588</v>
      </c>
      <c r="L641" s="9"/>
    </row>
    <row r="642" ht="23" spans="1:12">
      <c r="A642" s="8" t="s">
        <v>2492</v>
      </c>
      <c r="B642" s="9" t="s">
        <v>2493</v>
      </c>
      <c r="C642" s="9" t="s">
        <v>2494</v>
      </c>
      <c r="D642" s="9" t="s">
        <v>2495</v>
      </c>
      <c r="E642" s="9" t="s">
        <v>258</v>
      </c>
      <c r="F642" s="11" t="s">
        <v>19</v>
      </c>
      <c r="G642" s="11" t="s">
        <v>20</v>
      </c>
      <c r="H642" s="9" t="s">
        <v>42</v>
      </c>
      <c r="I642" s="15">
        <v>1</v>
      </c>
      <c r="J642" s="17">
        <f>[1]Detail!M642+[1]Detail!N642</f>
        <v>270478</v>
      </c>
      <c r="K642" s="17">
        <f>J642*[1]Detail!I642</f>
        <v>270478</v>
      </c>
      <c r="L642" s="9"/>
    </row>
    <row r="643" ht="23" spans="1:12">
      <c r="A643" s="8" t="s">
        <v>2496</v>
      </c>
      <c r="B643" s="9" t="s">
        <v>2497</v>
      </c>
      <c r="C643" s="9" t="s">
        <v>2498</v>
      </c>
      <c r="D643" s="9" t="s">
        <v>2499</v>
      </c>
      <c r="E643" s="9" t="s">
        <v>53</v>
      </c>
      <c r="F643" s="11" t="s">
        <v>54</v>
      </c>
      <c r="G643" s="11" t="s">
        <v>41</v>
      </c>
      <c r="H643" s="9" t="s">
        <v>42</v>
      </c>
      <c r="I643" s="15">
        <v>1</v>
      </c>
      <c r="J643" s="17">
        <f>[1]Detail!M643+[1]Detail!N643</f>
        <v>215410</v>
      </c>
      <c r="K643" s="17">
        <f>J643*[1]Detail!I643</f>
        <v>215410</v>
      </c>
      <c r="L643" s="9"/>
    </row>
    <row r="644" spans="1:12">
      <c r="A644" s="8"/>
      <c r="B644" s="9"/>
      <c r="C644" s="9"/>
      <c r="D644" s="10" t="s">
        <v>2500</v>
      </c>
      <c r="E644" s="9"/>
      <c r="F644" s="11"/>
      <c r="G644" s="11"/>
      <c r="H644" s="9"/>
      <c r="I644" s="15">
        <v>606</v>
      </c>
      <c r="J644" s="16"/>
      <c r="K644" s="19">
        <f>SUM(K4:K643)</f>
        <v>165462986</v>
      </c>
      <c r="L644" s="9"/>
    </row>
  </sheetData>
  <pageMargins left="0.7" right="0.7" top="0.75" bottom="0.75" header="0.3" footer="0.3"/>
  <pageSetup paperSize="1" scale="90" orientation="landscape"/>
  <headerFooter>
    <oddHeader>&amp;C&amp;"Times New Roman,Bold"&amp;16SAFARI BOOKS LIMITED</oddHeader>
    <oddFooter>&amp;C&amp;P/&amp;N&amp;R&amp;D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2026-01-30T09:31:00Z</dcterms:created>
  <cp:lastPrinted>2026-01-30T09:40:00Z</cp:lastPrinted>
  <dcterms:modified xsi:type="dcterms:W3CDTF">2026-03-29T06:00:01Z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E9456ECBA68A492AB088D13FC4A20188_12</vt:lpwstr>
  </property>
  <property fmtid="{D5CDD505-2E9C-101B-9397-08002B2CF9AE}" pid="3" name="KSOProductBuildVer">
    <vt:lpwstr>1033-12.2.0.23196</vt:lpwstr>
  </property>
</Properties>
</file>